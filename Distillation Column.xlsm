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5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unxu\Desktop\All Projects\Unit Operations Project\"/>
    </mc:Choice>
  </mc:AlternateContent>
  <bookViews>
    <workbookView xWindow="0" yWindow="0" windowWidth="21333" windowHeight="6973"/>
  </bookViews>
  <sheets>
    <sheet name="baseDesign" sheetId="1" r:id="rId1"/>
    <sheet name="optimization" sheetId="2" r:id="rId2"/>
    <sheet name="Optimized Results(Non-VBA)" sheetId="3" r:id="rId3"/>
    <sheet name="partB" sheetId="4" r:id="rId4"/>
  </sheets>
  <functionGroups builtInGroupCount="19"/>
  <externalReferences>
    <externalReference r:id="rId5"/>
  </externalReferences>
  <definedNames>
    <definedName name="Feed">partB!$O$102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partB!$AA$27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1" i="4" l="1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43" i="4"/>
  <c r="I155" i="4" l="1"/>
  <c r="G155" i="4"/>
  <c r="I154" i="4"/>
  <c r="G154" i="4"/>
  <c r="I153" i="4"/>
  <c r="G153" i="4"/>
  <c r="I152" i="4"/>
  <c r="G152" i="4"/>
  <c r="I151" i="4"/>
  <c r="G151" i="4"/>
  <c r="I150" i="4"/>
  <c r="G150" i="4"/>
  <c r="I149" i="4"/>
  <c r="G149" i="4"/>
  <c r="I148" i="4"/>
  <c r="G148" i="4"/>
  <c r="I147" i="4"/>
  <c r="G147" i="4"/>
  <c r="I146" i="4"/>
  <c r="G146" i="4"/>
  <c r="I145" i="4"/>
  <c r="G145" i="4"/>
  <c r="I144" i="4"/>
  <c r="G144" i="4"/>
  <c r="I143" i="4"/>
  <c r="G143" i="4"/>
  <c r="I142" i="4"/>
  <c r="G142" i="4"/>
  <c r="I141" i="4"/>
  <c r="G141" i="4"/>
  <c r="I140" i="4"/>
  <c r="G140" i="4"/>
  <c r="I139" i="4"/>
  <c r="G139" i="4"/>
  <c r="I138" i="4"/>
  <c r="G138" i="4"/>
  <c r="I137" i="4"/>
  <c r="G137" i="4"/>
  <c r="I136" i="4"/>
  <c r="G136" i="4"/>
  <c r="I135" i="4"/>
  <c r="G135" i="4"/>
  <c r="I134" i="4"/>
  <c r="G134" i="4"/>
  <c r="I133" i="4"/>
  <c r="G133" i="4"/>
  <c r="I132" i="4"/>
  <c r="G132" i="4"/>
  <c r="I131" i="4"/>
  <c r="G131" i="4"/>
  <c r="I130" i="4"/>
  <c r="G130" i="4"/>
  <c r="I129" i="4"/>
  <c r="G129" i="4"/>
  <c r="I128" i="4"/>
  <c r="G128" i="4"/>
  <c r="I127" i="4"/>
  <c r="G127" i="4"/>
  <c r="I126" i="4"/>
  <c r="G126" i="4"/>
  <c r="I125" i="4"/>
  <c r="G125" i="4"/>
  <c r="I124" i="4"/>
  <c r="G124" i="4"/>
  <c r="I123" i="4"/>
  <c r="G123" i="4"/>
  <c r="I122" i="4"/>
  <c r="G122" i="4"/>
  <c r="I121" i="4"/>
  <c r="G121" i="4"/>
  <c r="I120" i="4"/>
  <c r="G120" i="4"/>
  <c r="I119" i="4"/>
  <c r="G119" i="4"/>
  <c r="I118" i="4"/>
  <c r="G118" i="4"/>
  <c r="I117" i="4"/>
  <c r="G117" i="4"/>
  <c r="I116" i="4"/>
  <c r="G116" i="4"/>
  <c r="I115" i="4"/>
  <c r="G115" i="4"/>
  <c r="I114" i="4"/>
  <c r="G114" i="4"/>
  <c r="I113" i="4"/>
  <c r="G113" i="4"/>
  <c r="I112" i="4"/>
  <c r="G112" i="4"/>
  <c r="I111" i="4"/>
  <c r="G111" i="4"/>
  <c r="D111" i="4"/>
  <c r="D141" i="4" s="1"/>
  <c r="C111" i="4"/>
  <c r="C150" i="4" s="1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E34" i="4"/>
  <c r="F34" i="4" s="1"/>
  <c r="G33" i="4"/>
  <c r="G32" i="4"/>
  <c r="E32" i="4"/>
  <c r="F32" i="4" s="1"/>
  <c r="G31" i="4"/>
  <c r="G30" i="4"/>
  <c r="E30" i="4"/>
  <c r="F30" i="4" s="1"/>
  <c r="G29" i="4"/>
  <c r="G28" i="4"/>
  <c r="E28" i="4"/>
  <c r="F28" i="4" s="1"/>
  <c r="G27" i="4"/>
  <c r="G26" i="4"/>
  <c r="E26" i="4"/>
  <c r="F26" i="4" s="1"/>
  <c r="G25" i="4"/>
  <c r="G24" i="4"/>
  <c r="E24" i="4"/>
  <c r="F24" i="4" s="1"/>
  <c r="G23" i="4"/>
  <c r="G22" i="4"/>
  <c r="E22" i="4"/>
  <c r="F22" i="4" s="1"/>
  <c r="G21" i="4"/>
  <c r="E21" i="4"/>
  <c r="F21" i="4" s="1"/>
  <c r="T18" i="4"/>
  <c r="S18" i="4"/>
  <c r="T17" i="4"/>
  <c r="S17" i="4"/>
  <c r="T16" i="4"/>
  <c r="S16" i="4"/>
  <c r="T15" i="4"/>
  <c r="S15" i="4"/>
  <c r="T14" i="4"/>
  <c r="S14" i="4"/>
  <c r="T13" i="4"/>
  <c r="S13" i="4"/>
  <c r="T12" i="4"/>
  <c r="S12" i="4"/>
  <c r="T11" i="4"/>
  <c r="S11" i="4"/>
  <c r="T10" i="4"/>
  <c r="S10" i="4"/>
  <c r="T9" i="4"/>
  <c r="S9" i="4"/>
  <c r="T8" i="4"/>
  <c r="S8" i="4"/>
  <c r="T7" i="4"/>
  <c r="S7" i="4"/>
  <c r="T6" i="4"/>
  <c r="S6" i="4"/>
  <c r="T5" i="4"/>
  <c r="S5" i="4"/>
  <c r="T4" i="4"/>
  <c r="S4" i="4"/>
  <c r="T3" i="4"/>
  <c r="S3" i="4"/>
  <c r="T2" i="4"/>
  <c r="S2" i="4"/>
  <c r="V12" i="4"/>
  <c r="V18" i="4"/>
  <c r="V3" i="4"/>
  <c r="X9" i="4"/>
  <c r="W5" i="4"/>
  <c r="U3" i="4"/>
  <c r="V7" i="4"/>
  <c r="W13" i="4"/>
  <c r="U6" i="4"/>
  <c r="X5" i="4"/>
  <c r="X13" i="4"/>
  <c r="U18" i="4"/>
  <c r="X14" i="4"/>
  <c r="C6" i="4"/>
  <c r="U5" i="4"/>
  <c r="X11" i="4"/>
  <c r="W11" i="4"/>
  <c r="U11" i="4"/>
  <c r="W14" i="4"/>
  <c r="H101" i="4"/>
  <c r="U16" i="4"/>
  <c r="V6" i="4"/>
  <c r="W12" i="4"/>
  <c r="W10" i="4"/>
  <c r="U17" i="4"/>
  <c r="W6" i="4"/>
  <c r="W15" i="4"/>
  <c r="U12" i="4"/>
  <c r="X6" i="4"/>
  <c r="V8" i="4"/>
  <c r="E6" i="4"/>
  <c r="U9" i="4"/>
  <c r="X2" i="4"/>
  <c r="V16" i="4"/>
  <c r="W17" i="4"/>
  <c r="V5" i="4"/>
  <c r="V2" i="4"/>
  <c r="X15" i="4"/>
  <c r="U13" i="4"/>
  <c r="W7" i="4"/>
  <c r="U2" i="4"/>
  <c r="W16" i="4"/>
  <c r="U14" i="4"/>
  <c r="C7" i="4"/>
  <c r="V13" i="4"/>
  <c r="U15" i="4"/>
  <c r="V14" i="4"/>
  <c r="V11" i="4"/>
  <c r="V17" i="4"/>
  <c r="W2" i="4"/>
  <c r="X8" i="4"/>
  <c r="X3" i="4"/>
  <c r="V4" i="4"/>
  <c r="W18" i="4"/>
  <c r="W3" i="4"/>
  <c r="U8" i="4"/>
  <c r="V15" i="4"/>
  <c r="X17" i="4"/>
  <c r="X4" i="4"/>
  <c r="X16" i="4"/>
  <c r="W8" i="4"/>
  <c r="V9" i="4"/>
  <c r="W4" i="4"/>
  <c r="X18" i="4"/>
  <c r="V10" i="4"/>
  <c r="X7" i="4"/>
  <c r="U10" i="4"/>
  <c r="U7" i="4"/>
  <c r="W9" i="4"/>
  <c r="X12" i="4"/>
  <c r="E7" i="4"/>
  <c r="U4" i="4"/>
  <c r="X10" i="4"/>
  <c r="C121" i="4" l="1"/>
  <c r="C155" i="4"/>
  <c r="D116" i="4"/>
  <c r="D124" i="4"/>
  <c r="D127" i="4"/>
  <c r="C138" i="4"/>
  <c r="D112" i="4"/>
  <c r="D120" i="4"/>
  <c r="C154" i="4"/>
  <c r="C113" i="4"/>
  <c r="C129" i="4"/>
  <c r="E111" i="4"/>
  <c r="F111" i="4" s="1"/>
  <c r="C117" i="4"/>
  <c r="C125" i="4"/>
  <c r="D149" i="4"/>
  <c r="H152" i="4"/>
  <c r="H148" i="4"/>
  <c r="H144" i="4"/>
  <c r="H140" i="4"/>
  <c r="H136" i="4"/>
  <c r="H132" i="4"/>
  <c r="H151" i="4"/>
  <c r="H147" i="4"/>
  <c r="H143" i="4"/>
  <c r="H139" i="4"/>
  <c r="H135" i="4"/>
  <c r="H155" i="4"/>
  <c r="H154" i="4"/>
  <c r="H150" i="4"/>
  <c r="H146" i="4"/>
  <c r="H142" i="4"/>
  <c r="H138" i="4"/>
  <c r="H134" i="4"/>
  <c r="H130" i="4"/>
  <c r="H125" i="4"/>
  <c r="H145" i="4"/>
  <c r="H123" i="4"/>
  <c r="H119" i="4"/>
  <c r="H115" i="4"/>
  <c r="H111" i="4"/>
  <c r="H149" i="4"/>
  <c r="H128" i="4"/>
  <c r="H126" i="4"/>
  <c r="H122" i="4"/>
  <c r="H118" i="4"/>
  <c r="H114" i="4"/>
  <c r="H153" i="4"/>
  <c r="H137" i="4"/>
  <c r="H133" i="4"/>
  <c r="H131" i="4"/>
  <c r="H121" i="4"/>
  <c r="H117" i="4"/>
  <c r="H113" i="4"/>
  <c r="H127" i="4"/>
  <c r="H120" i="4"/>
  <c r="H124" i="4"/>
  <c r="H141" i="4"/>
  <c r="H112" i="4"/>
  <c r="H129" i="4"/>
  <c r="Y6" i="4"/>
  <c r="Y2" i="4"/>
  <c r="H116" i="4"/>
  <c r="Y12" i="4"/>
  <c r="Y11" i="4"/>
  <c r="Y10" i="4"/>
  <c r="Y9" i="4"/>
  <c r="Y8" i="4"/>
  <c r="Y7" i="4"/>
  <c r="Y5" i="4"/>
  <c r="Y14" i="4"/>
  <c r="Y18" i="4"/>
  <c r="Y17" i="4"/>
  <c r="Y16" i="4"/>
  <c r="K13" i="4"/>
  <c r="Y4" i="4"/>
  <c r="Y3" i="4"/>
  <c r="G2" i="4"/>
  <c r="Y15" i="4"/>
  <c r="Y13" i="4"/>
  <c r="E5" i="4"/>
  <c r="Z12" i="4" s="1"/>
  <c r="D113" i="4"/>
  <c r="C114" i="4"/>
  <c r="D117" i="4"/>
  <c r="C118" i="4"/>
  <c r="D121" i="4"/>
  <c r="C122" i="4"/>
  <c r="D129" i="4"/>
  <c r="D131" i="4"/>
  <c r="D135" i="4"/>
  <c r="D145" i="4"/>
  <c r="C153" i="4"/>
  <c r="C149" i="4"/>
  <c r="C145" i="4"/>
  <c r="C141" i="4"/>
  <c r="C137" i="4"/>
  <c r="C133" i="4"/>
  <c r="C152" i="4"/>
  <c r="C148" i="4"/>
  <c r="C144" i="4"/>
  <c r="C140" i="4"/>
  <c r="C136" i="4"/>
  <c r="C151" i="4"/>
  <c r="C147" i="4"/>
  <c r="C143" i="4"/>
  <c r="C139" i="4"/>
  <c r="C135" i="4"/>
  <c r="C131" i="4"/>
  <c r="C127" i="4"/>
  <c r="C126" i="4"/>
  <c r="D114" i="4"/>
  <c r="C115" i="4"/>
  <c r="D118" i="4"/>
  <c r="C119" i="4"/>
  <c r="D122" i="4"/>
  <c r="C123" i="4"/>
  <c r="D126" i="4"/>
  <c r="C128" i="4"/>
  <c r="D133" i="4"/>
  <c r="C134" i="4"/>
  <c r="C146" i="4"/>
  <c r="D152" i="4"/>
  <c r="D148" i="4"/>
  <c r="D144" i="4"/>
  <c r="D140" i="4"/>
  <c r="D136" i="4"/>
  <c r="D132" i="4"/>
  <c r="D151" i="4"/>
  <c r="D147" i="4"/>
  <c r="D143" i="4"/>
  <c r="D139" i="4"/>
  <c r="D155" i="4"/>
  <c r="D154" i="4"/>
  <c r="D150" i="4"/>
  <c r="D146" i="4"/>
  <c r="D142" i="4"/>
  <c r="D138" i="4"/>
  <c r="D134" i="4"/>
  <c r="D130" i="4"/>
  <c r="D125" i="4"/>
  <c r="C112" i="4"/>
  <c r="D115" i="4"/>
  <c r="C116" i="4"/>
  <c r="D119" i="4"/>
  <c r="C120" i="4"/>
  <c r="D123" i="4"/>
  <c r="C124" i="4"/>
  <c r="D128" i="4"/>
  <c r="C130" i="4"/>
  <c r="C132" i="4"/>
  <c r="D137" i="4"/>
  <c r="C142" i="4"/>
  <c r="D153" i="4"/>
  <c r="I13" i="4" l="1"/>
  <c r="Z14" i="4"/>
  <c r="Z4" i="4"/>
  <c r="Z5" i="4"/>
  <c r="Z10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90" i="4"/>
  <c r="H88" i="4"/>
  <c r="H86" i="4"/>
  <c r="H84" i="4"/>
  <c r="H89" i="4"/>
  <c r="H49" i="4"/>
  <c r="H45" i="4"/>
  <c r="H87" i="4"/>
  <c r="H52" i="4"/>
  <c r="H48" i="4"/>
  <c r="H44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85" i="4"/>
  <c r="H51" i="4"/>
  <c r="H47" i="4"/>
  <c r="H43" i="4"/>
  <c r="H50" i="4"/>
  <c r="H46" i="4"/>
  <c r="H42" i="4"/>
  <c r="Z13" i="4"/>
  <c r="Z18" i="4"/>
  <c r="Z2" i="4"/>
  <c r="Z15" i="4"/>
  <c r="Z16" i="4"/>
  <c r="Z7" i="4"/>
  <c r="Z11" i="4"/>
  <c r="Z3" i="4"/>
  <c r="Z9" i="4"/>
  <c r="Z6" i="4"/>
  <c r="G3" i="4"/>
  <c r="Z17" i="4"/>
  <c r="Z8" i="4"/>
  <c r="I34" i="4" l="1"/>
  <c r="J34" i="4" s="1"/>
  <c r="K34" i="4" s="1"/>
  <c r="I32" i="4"/>
  <c r="J32" i="4" s="1"/>
  <c r="K32" i="4" s="1"/>
  <c r="I30" i="4"/>
  <c r="J30" i="4" s="1"/>
  <c r="K30" i="4" s="1"/>
  <c r="I28" i="4"/>
  <c r="J28" i="4" s="1"/>
  <c r="K28" i="4" s="1"/>
  <c r="I26" i="4"/>
  <c r="J26" i="4" s="1"/>
  <c r="K26" i="4" s="1"/>
  <c r="I24" i="4"/>
  <c r="J24" i="4" s="1"/>
  <c r="K24" i="4" s="1"/>
  <c r="I22" i="4"/>
  <c r="J22" i="4" s="1"/>
  <c r="K22" i="4" s="1"/>
  <c r="I21" i="4"/>
  <c r="J21" i="4" s="1"/>
  <c r="K21" i="4" s="1"/>
  <c r="L21" i="4" s="1"/>
  <c r="I16" i="4"/>
  <c r="E25" i="4" l="1"/>
  <c r="F25" i="4" s="1"/>
  <c r="I25" i="4" s="1"/>
  <c r="J25" i="4" s="1"/>
  <c r="K25" i="4" s="1"/>
  <c r="L25" i="4" s="1"/>
  <c r="L24" i="4"/>
  <c r="E29" i="4"/>
  <c r="F29" i="4" s="1"/>
  <c r="I29" i="4" s="1"/>
  <c r="J29" i="4" s="1"/>
  <c r="K29" i="4" s="1"/>
  <c r="L29" i="4" s="1"/>
  <c r="L28" i="4"/>
  <c r="E33" i="4"/>
  <c r="F33" i="4" s="1"/>
  <c r="I33" i="4" s="1"/>
  <c r="J33" i="4" s="1"/>
  <c r="K33" i="4" s="1"/>
  <c r="L33" i="4" s="1"/>
  <c r="L32" i="4"/>
  <c r="J146" i="4"/>
  <c r="J153" i="4"/>
  <c r="J137" i="4"/>
  <c r="J140" i="4"/>
  <c r="J143" i="4"/>
  <c r="J117" i="4"/>
  <c r="J127" i="4"/>
  <c r="J112" i="4"/>
  <c r="J123" i="4"/>
  <c r="J118" i="4"/>
  <c r="J130" i="4"/>
  <c r="J114" i="4"/>
  <c r="J150" i="4"/>
  <c r="J141" i="4"/>
  <c r="J144" i="4"/>
  <c r="J121" i="4"/>
  <c r="J129" i="4"/>
  <c r="J125" i="4"/>
  <c r="J155" i="4"/>
  <c r="J142" i="4"/>
  <c r="J149" i="4"/>
  <c r="J152" i="4"/>
  <c r="J136" i="4"/>
  <c r="J133" i="4"/>
  <c r="J113" i="4"/>
  <c r="J124" i="4"/>
  <c r="J151" i="4"/>
  <c r="J119" i="4"/>
  <c r="J122" i="4"/>
  <c r="J134" i="4"/>
  <c r="J111" i="4"/>
  <c r="K111" i="4" s="1"/>
  <c r="J126" i="4"/>
  <c r="J154" i="4"/>
  <c r="J138" i="4"/>
  <c r="J145" i="4"/>
  <c r="J148" i="4"/>
  <c r="J132" i="4"/>
  <c r="J131" i="4"/>
  <c r="J147" i="4"/>
  <c r="J120" i="4"/>
  <c r="J135" i="4"/>
  <c r="J115" i="4"/>
  <c r="J139" i="4"/>
  <c r="J128" i="4"/>
  <c r="J116" i="4"/>
  <c r="E23" i="4"/>
  <c r="F23" i="4" s="1"/>
  <c r="I23" i="4" s="1"/>
  <c r="J23" i="4" s="1"/>
  <c r="K23" i="4" s="1"/>
  <c r="L23" i="4" s="1"/>
  <c r="L22" i="4"/>
  <c r="E27" i="4"/>
  <c r="F27" i="4" s="1"/>
  <c r="I27" i="4" s="1"/>
  <c r="J27" i="4" s="1"/>
  <c r="K27" i="4" s="1"/>
  <c r="L27" i="4" s="1"/>
  <c r="L26" i="4"/>
  <c r="E31" i="4"/>
  <c r="F31" i="4" s="1"/>
  <c r="I31" i="4" s="1"/>
  <c r="J31" i="4" s="1"/>
  <c r="K31" i="4" s="1"/>
  <c r="L31" i="4" s="1"/>
  <c r="L30" i="4"/>
  <c r="E35" i="4"/>
  <c r="F35" i="4" s="1"/>
  <c r="I35" i="4" s="1"/>
  <c r="J35" i="4" s="1"/>
  <c r="K35" i="4" s="1"/>
  <c r="L34" i="4"/>
  <c r="E36" i="4" l="1"/>
  <c r="F36" i="4" s="1"/>
  <c r="I36" i="4" s="1"/>
  <c r="J36" i="4" s="1"/>
  <c r="K36" i="4" s="1"/>
  <c r="L35" i="4"/>
  <c r="L111" i="4"/>
  <c r="M111" i="4" s="1"/>
  <c r="B112" i="4" l="1"/>
  <c r="E112" i="4"/>
  <c r="F112" i="4" s="1"/>
  <c r="K112" i="4" s="1"/>
  <c r="L112" i="4" s="1"/>
  <c r="E37" i="4"/>
  <c r="F37" i="4" s="1"/>
  <c r="I37" i="4" s="1"/>
  <c r="J37" i="4" s="1"/>
  <c r="K37" i="4" s="1"/>
  <c r="L36" i="4"/>
  <c r="E38" i="4" l="1"/>
  <c r="F38" i="4" s="1"/>
  <c r="I38" i="4" s="1"/>
  <c r="J38" i="4" s="1"/>
  <c r="K38" i="4" s="1"/>
  <c r="L37" i="4"/>
  <c r="M112" i="4"/>
  <c r="N112" i="4" s="1"/>
  <c r="B113" i="4" l="1"/>
  <c r="E113" i="4"/>
  <c r="F113" i="4" s="1"/>
  <c r="K113" i="4" s="1"/>
  <c r="L113" i="4" s="1"/>
  <c r="E39" i="4"/>
  <c r="F39" i="4" s="1"/>
  <c r="I39" i="4" s="1"/>
  <c r="J39" i="4" s="1"/>
  <c r="K39" i="4" s="1"/>
  <c r="L38" i="4"/>
  <c r="E40" i="4" l="1"/>
  <c r="F40" i="4" s="1"/>
  <c r="I40" i="4" s="1"/>
  <c r="J40" i="4" s="1"/>
  <c r="K40" i="4" s="1"/>
  <c r="L39" i="4"/>
  <c r="M113" i="4"/>
  <c r="N113" i="4" s="1"/>
  <c r="E114" i="4" l="1"/>
  <c r="F114" i="4" s="1"/>
  <c r="K114" i="4" s="1"/>
  <c r="L114" i="4" s="1"/>
  <c r="B114" i="4"/>
  <c r="E41" i="4"/>
  <c r="F41" i="4" s="1"/>
  <c r="I41" i="4" s="1"/>
  <c r="J41" i="4" s="1"/>
  <c r="K41" i="4" s="1"/>
  <c r="L40" i="4"/>
  <c r="M114" i="4" l="1"/>
  <c r="N114" i="4" s="1"/>
  <c r="B115" i="4" s="1"/>
  <c r="E115" i="4" s="1"/>
  <c r="F115" i="4" s="1"/>
  <c r="K115" i="4" s="1"/>
  <c r="L115" i="4" s="1"/>
  <c r="E42" i="4"/>
  <c r="F42" i="4" s="1"/>
  <c r="I42" i="4" s="1"/>
  <c r="J42" i="4" s="1"/>
  <c r="K42" i="4" s="1"/>
  <c r="L41" i="4"/>
  <c r="M115" i="4" l="1"/>
  <c r="N115" i="4" s="1"/>
  <c r="E43" i="4"/>
  <c r="F43" i="4" s="1"/>
  <c r="I43" i="4" s="1"/>
  <c r="J43" i="4" s="1"/>
  <c r="K43" i="4" s="1"/>
  <c r="L42" i="4"/>
  <c r="L43" i="4" l="1"/>
  <c r="E44" i="4"/>
  <c r="F44" i="4" s="1"/>
  <c r="I44" i="4" s="1"/>
  <c r="J44" i="4" s="1"/>
  <c r="K44" i="4" s="1"/>
  <c r="B116" i="4"/>
  <c r="E116" i="4"/>
  <c r="F116" i="4" s="1"/>
  <c r="K116" i="4" s="1"/>
  <c r="L116" i="4" s="1"/>
  <c r="M116" i="4" l="1"/>
  <c r="N116" i="4" s="1"/>
  <c r="E45" i="4"/>
  <c r="F45" i="4" s="1"/>
  <c r="I45" i="4" s="1"/>
  <c r="J45" i="4" s="1"/>
  <c r="K45" i="4" s="1"/>
  <c r="L44" i="4"/>
  <c r="E46" i="4" l="1"/>
  <c r="F46" i="4" s="1"/>
  <c r="I46" i="4" s="1"/>
  <c r="J46" i="4" s="1"/>
  <c r="K46" i="4" s="1"/>
  <c r="L45" i="4"/>
  <c r="B117" i="4"/>
  <c r="E117" i="4"/>
  <c r="F117" i="4" s="1"/>
  <c r="K117" i="4" s="1"/>
  <c r="L117" i="4" s="1"/>
  <c r="M117" i="4" l="1"/>
  <c r="N117" i="4" s="1"/>
  <c r="E47" i="4"/>
  <c r="F47" i="4" s="1"/>
  <c r="I47" i="4" s="1"/>
  <c r="J47" i="4" s="1"/>
  <c r="K47" i="4" s="1"/>
  <c r="L46" i="4"/>
  <c r="L47" i="4" l="1"/>
  <c r="E48" i="4"/>
  <c r="F48" i="4" s="1"/>
  <c r="I48" i="4" s="1"/>
  <c r="J48" i="4" s="1"/>
  <c r="K48" i="4" s="1"/>
  <c r="B118" i="4"/>
  <c r="E118" i="4" s="1"/>
  <c r="F118" i="4" s="1"/>
  <c r="K118" i="4" s="1"/>
  <c r="L118" i="4" s="1"/>
  <c r="M118" i="4" l="1"/>
  <c r="N118" i="4" s="1"/>
  <c r="E49" i="4"/>
  <c r="F49" i="4" s="1"/>
  <c r="I49" i="4" s="1"/>
  <c r="J49" i="4" s="1"/>
  <c r="K49" i="4" s="1"/>
  <c r="L48" i="4"/>
  <c r="B119" i="4" l="1"/>
  <c r="E119" i="4"/>
  <c r="F119" i="4" s="1"/>
  <c r="K119" i="4" s="1"/>
  <c r="L119" i="4" s="1"/>
  <c r="E50" i="4"/>
  <c r="F50" i="4" s="1"/>
  <c r="I50" i="4" s="1"/>
  <c r="J50" i="4" s="1"/>
  <c r="K50" i="4" s="1"/>
  <c r="L49" i="4"/>
  <c r="E51" i="4" l="1"/>
  <c r="F51" i="4" s="1"/>
  <c r="I51" i="4" s="1"/>
  <c r="J51" i="4" s="1"/>
  <c r="K51" i="4" s="1"/>
  <c r="L50" i="4"/>
  <c r="M119" i="4"/>
  <c r="N119" i="4" s="1"/>
  <c r="L51" i="4" l="1"/>
  <c r="E52" i="4"/>
  <c r="F52" i="4" s="1"/>
  <c r="I52" i="4" s="1"/>
  <c r="J52" i="4" s="1"/>
  <c r="K52" i="4" s="1"/>
  <c r="B120" i="4"/>
  <c r="E120" i="4"/>
  <c r="F120" i="4" s="1"/>
  <c r="K120" i="4" s="1"/>
  <c r="L120" i="4" s="1"/>
  <c r="M120" i="4" l="1"/>
  <c r="N120" i="4" s="1"/>
  <c r="B121" i="4" s="1"/>
  <c r="L52" i="4"/>
  <c r="E53" i="4"/>
  <c r="F53" i="4" s="1"/>
  <c r="I53" i="4" s="1"/>
  <c r="J53" i="4" s="1"/>
  <c r="K53" i="4" s="1"/>
  <c r="L53" i="4" l="1"/>
  <c r="E54" i="4"/>
  <c r="F54" i="4" s="1"/>
  <c r="I54" i="4" s="1"/>
  <c r="J54" i="4" s="1"/>
  <c r="K54" i="4" s="1"/>
  <c r="E121" i="4"/>
  <c r="F121" i="4" s="1"/>
  <c r="K121" i="4" s="1"/>
  <c r="L121" i="4" s="1"/>
  <c r="M121" i="4" l="1"/>
  <c r="N121" i="4" s="1"/>
  <c r="E122" i="4" s="1"/>
  <c r="F122" i="4" s="1"/>
  <c r="K122" i="4" s="1"/>
  <c r="L122" i="4" s="1"/>
  <c r="L54" i="4"/>
  <c r="E55" i="4"/>
  <c r="F55" i="4" s="1"/>
  <c r="I55" i="4" s="1"/>
  <c r="J55" i="4" s="1"/>
  <c r="K55" i="4" s="1"/>
  <c r="B122" i="4" l="1"/>
  <c r="M122" i="4" s="1"/>
  <c r="N122" i="4" s="1"/>
  <c r="L55" i="4"/>
  <c r="E56" i="4"/>
  <c r="F56" i="4" s="1"/>
  <c r="I56" i="4" s="1"/>
  <c r="J56" i="4" s="1"/>
  <c r="K56" i="4" s="1"/>
  <c r="B123" i="4" l="1"/>
  <c r="E123" i="4"/>
  <c r="F123" i="4" s="1"/>
  <c r="K123" i="4" s="1"/>
  <c r="L123" i="4" s="1"/>
  <c r="L56" i="4"/>
  <c r="E57" i="4"/>
  <c r="F57" i="4" s="1"/>
  <c r="I57" i="4" s="1"/>
  <c r="J57" i="4" s="1"/>
  <c r="K57" i="4" s="1"/>
  <c r="M123" i="4" l="1"/>
  <c r="N123" i="4" s="1"/>
  <c r="B124" i="4" s="1"/>
  <c r="L57" i="4"/>
  <c r="E58" i="4"/>
  <c r="F58" i="4" s="1"/>
  <c r="I58" i="4" s="1"/>
  <c r="J58" i="4" s="1"/>
  <c r="K58" i="4" s="1"/>
  <c r="L58" i="4" l="1"/>
  <c r="E59" i="4"/>
  <c r="F59" i="4" s="1"/>
  <c r="I59" i="4" s="1"/>
  <c r="J59" i="4" s="1"/>
  <c r="K59" i="4" s="1"/>
  <c r="E124" i="4"/>
  <c r="F124" i="4" s="1"/>
  <c r="K124" i="4" s="1"/>
  <c r="L124" i="4" s="1"/>
  <c r="M124" i="4" l="1"/>
  <c r="N124" i="4" s="1"/>
  <c r="B125" i="4" s="1"/>
  <c r="L59" i="4"/>
  <c r="E60" i="4"/>
  <c r="F60" i="4" s="1"/>
  <c r="I60" i="4" s="1"/>
  <c r="J60" i="4" s="1"/>
  <c r="K60" i="4" s="1"/>
  <c r="E125" i="4" l="1"/>
  <c r="F125" i="4" s="1"/>
  <c r="K125" i="4" s="1"/>
  <c r="L125" i="4" s="1"/>
  <c r="L60" i="4"/>
  <c r="E61" i="4"/>
  <c r="F61" i="4" s="1"/>
  <c r="I61" i="4" s="1"/>
  <c r="J61" i="4" s="1"/>
  <c r="K61" i="4" s="1"/>
  <c r="M125" i="4" l="1"/>
  <c r="N125" i="4" s="1"/>
  <c r="B126" i="4" s="1"/>
  <c r="L61" i="4"/>
  <c r="E62" i="4"/>
  <c r="F62" i="4" s="1"/>
  <c r="I62" i="4" s="1"/>
  <c r="J62" i="4" s="1"/>
  <c r="K62" i="4" s="1"/>
  <c r="E126" i="4" l="1"/>
  <c r="F126" i="4" s="1"/>
  <c r="K126" i="4" s="1"/>
  <c r="L62" i="4"/>
  <c r="E63" i="4"/>
  <c r="F63" i="4" s="1"/>
  <c r="I63" i="4" s="1"/>
  <c r="J63" i="4" s="1"/>
  <c r="K63" i="4" s="1"/>
  <c r="L126" i="4" l="1"/>
  <c r="M126" i="4" s="1"/>
  <c r="N126" i="4" s="1"/>
  <c r="E127" i="4" s="1"/>
  <c r="F127" i="4" s="1"/>
  <c r="K127" i="4" s="1"/>
  <c r="L127" i="4" s="1"/>
  <c r="M127" i="4" s="1"/>
  <c r="N127" i="4" s="1"/>
  <c r="L63" i="4"/>
  <c r="E64" i="4"/>
  <c r="F64" i="4" s="1"/>
  <c r="I64" i="4" s="1"/>
  <c r="J64" i="4" s="1"/>
  <c r="K64" i="4" s="1"/>
  <c r="B128" i="4" l="1"/>
  <c r="E128" i="4"/>
  <c r="F128" i="4" s="1"/>
  <c r="K128" i="4" s="1"/>
  <c r="L128" i="4" s="1"/>
  <c r="L64" i="4"/>
  <c r="E65" i="4"/>
  <c r="F65" i="4" s="1"/>
  <c r="I65" i="4" s="1"/>
  <c r="J65" i="4" s="1"/>
  <c r="K65" i="4" s="1"/>
  <c r="M128" i="4" l="1"/>
  <c r="N128" i="4" s="1"/>
  <c r="B129" i="4" s="1"/>
  <c r="E129" i="4" s="1"/>
  <c r="F129" i="4" s="1"/>
  <c r="K129" i="4" s="1"/>
  <c r="L129" i="4" s="1"/>
  <c r="L65" i="4"/>
  <c r="E66" i="4"/>
  <c r="F66" i="4" s="1"/>
  <c r="I66" i="4" s="1"/>
  <c r="J66" i="4" s="1"/>
  <c r="K66" i="4" s="1"/>
  <c r="M129" i="4" l="1"/>
  <c r="N129" i="4" s="1"/>
  <c r="L66" i="4"/>
  <c r="E67" i="4"/>
  <c r="F67" i="4" s="1"/>
  <c r="I67" i="4" s="1"/>
  <c r="J67" i="4" s="1"/>
  <c r="K67" i="4" s="1"/>
  <c r="B130" i="4" l="1"/>
  <c r="E130" i="4"/>
  <c r="F130" i="4" s="1"/>
  <c r="K130" i="4" s="1"/>
  <c r="L130" i="4" s="1"/>
  <c r="L67" i="4"/>
  <c r="E68" i="4"/>
  <c r="F68" i="4" s="1"/>
  <c r="I68" i="4" s="1"/>
  <c r="J68" i="4" s="1"/>
  <c r="K68" i="4" s="1"/>
  <c r="M130" i="4" l="1"/>
  <c r="N130" i="4" s="1"/>
  <c r="B131" i="4" s="1"/>
  <c r="L68" i="4"/>
  <c r="E69" i="4"/>
  <c r="F69" i="4" s="1"/>
  <c r="I69" i="4" s="1"/>
  <c r="J69" i="4" s="1"/>
  <c r="K69" i="4" s="1"/>
  <c r="L69" i="4" l="1"/>
  <c r="E70" i="4"/>
  <c r="F70" i="4" s="1"/>
  <c r="I70" i="4" s="1"/>
  <c r="J70" i="4" s="1"/>
  <c r="K70" i="4" s="1"/>
  <c r="E131" i="4"/>
  <c r="F131" i="4" s="1"/>
  <c r="K131" i="4" s="1"/>
  <c r="L131" i="4" s="1"/>
  <c r="M131" i="4" l="1"/>
  <c r="N131" i="4" s="1"/>
  <c r="B132" i="4" s="1"/>
  <c r="L70" i="4"/>
  <c r="E71" i="4"/>
  <c r="F71" i="4" s="1"/>
  <c r="I71" i="4" s="1"/>
  <c r="J71" i="4" s="1"/>
  <c r="K71" i="4" s="1"/>
  <c r="E132" i="4" l="1"/>
  <c r="F132" i="4" s="1"/>
  <c r="K132" i="4" s="1"/>
  <c r="L132" i="4" s="1"/>
  <c r="L71" i="4"/>
  <c r="E72" i="4"/>
  <c r="F72" i="4" s="1"/>
  <c r="I72" i="4" s="1"/>
  <c r="J72" i="4" s="1"/>
  <c r="K72" i="4" s="1"/>
  <c r="M132" i="4" l="1"/>
  <c r="N132" i="4" s="1"/>
  <c r="L72" i="4"/>
  <c r="E73" i="4"/>
  <c r="F73" i="4" s="1"/>
  <c r="I73" i="4" s="1"/>
  <c r="J73" i="4" s="1"/>
  <c r="K73" i="4" s="1"/>
  <c r="E133" i="4" l="1"/>
  <c r="F133" i="4" s="1"/>
  <c r="K133" i="4" s="1"/>
  <c r="L133" i="4" s="1"/>
  <c r="B133" i="4"/>
  <c r="L73" i="4"/>
  <c r="E74" i="4"/>
  <c r="F74" i="4" s="1"/>
  <c r="I74" i="4" s="1"/>
  <c r="J74" i="4" s="1"/>
  <c r="K74" i="4" s="1"/>
  <c r="M133" i="4" l="1"/>
  <c r="N133" i="4" s="1"/>
  <c r="B134" i="4" s="1"/>
  <c r="L74" i="4"/>
  <c r="E75" i="4"/>
  <c r="F75" i="4" s="1"/>
  <c r="I75" i="4" s="1"/>
  <c r="J75" i="4" s="1"/>
  <c r="K75" i="4" s="1"/>
  <c r="E134" i="4" l="1"/>
  <c r="F134" i="4" s="1"/>
  <c r="K134" i="4" s="1"/>
  <c r="L134" i="4" s="1"/>
  <c r="L75" i="4"/>
  <c r="E76" i="4"/>
  <c r="F76" i="4" s="1"/>
  <c r="I76" i="4" s="1"/>
  <c r="J76" i="4" s="1"/>
  <c r="K76" i="4" s="1"/>
  <c r="M134" i="4" l="1"/>
  <c r="N134" i="4" s="1"/>
  <c r="L76" i="4"/>
  <c r="E77" i="4"/>
  <c r="F77" i="4" s="1"/>
  <c r="I77" i="4" s="1"/>
  <c r="J77" i="4" s="1"/>
  <c r="K77" i="4" s="1"/>
  <c r="E135" i="4" l="1"/>
  <c r="F135" i="4" s="1"/>
  <c r="K135" i="4" s="1"/>
  <c r="L135" i="4" s="1"/>
  <c r="B135" i="4"/>
  <c r="L77" i="4"/>
  <c r="E78" i="4"/>
  <c r="F78" i="4" s="1"/>
  <c r="I78" i="4" s="1"/>
  <c r="J78" i="4" s="1"/>
  <c r="K78" i="4" s="1"/>
  <c r="M135" i="4" l="1"/>
  <c r="N135" i="4" s="1"/>
  <c r="L78" i="4"/>
  <c r="E79" i="4"/>
  <c r="F79" i="4" s="1"/>
  <c r="I79" i="4" s="1"/>
  <c r="J79" i="4" s="1"/>
  <c r="K79" i="4" s="1"/>
  <c r="B136" i="4" l="1"/>
  <c r="E136" i="4"/>
  <c r="F136" i="4" s="1"/>
  <c r="K136" i="4" s="1"/>
  <c r="L136" i="4" s="1"/>
  <c r="L79" i="4"/>
  <c r="E80" i="4"/>
  <c r="F80" i="4" s="1"/>
  <c r="I80" i="4" s="1"/>
  <c r="J80" i="4" s="1"/>
  <c r="K80" i="4" s="1"/>
  <c r="M136" i="4" l="1"/>
  <c r="N136" i="4" s="1"/>
  <c r="B137" i="4" s="1"/>
  <c r="L80" i="4"/>
  <c r="E81" i="4"/>
  <c r="F81" i="4" s="1"/>
  <c r="I81" i="4" s="1"/>
  <c r="J81" i="4" s="1"/>
  <c r="K81" i="4" s="1"/>
  <c r="E137" i="4" l="1"/>
  <c r="F137" i="4" s="1"/>
  <c r="K137" i="4" s="1"/>
  <c r="L137" i="4" s="1"/>
  <c r="L81" i="4"/>
  <c r="E82" i="4"/>
  <c r="F82" i="4" s="1"/>
  <c r="I82" i="4" s="1"/>
  <c r="J82" i="4" s="1"/>
  <c r="K82" i="4" s="1"/>
  <c r="M137" i="4" l="1"/>
  <c r="N137" i="4" s="1"/>
  <c r="B138" i="4" s="1"/>
  <c r="L82" i="4"/>
  <c r="E83" i="4"/>
  <c r="F83" i="4" s="1"/>
  <c r="I83" i="4" s="1"/>
  <c r="J83" i="4" s="1"/>
  <c r="K83" i="4" s="1"/>
  <c r="E138" i="4" l="1"/>
  <c r="F138" i="4" s="1"/>
  <c r="K138" i="4" s="1"/>
  <c r="L138" i="4" s="1"/>
  <c r="L83" i="4"/>
  <c r="E84" i="4"/>
  <c r="F84" i="4" s="1"/>
  <c r="I84" i="4" s="1"/>
  <c r="J84" i="4" s="1"/>
  <c r="K84" i="4" s="1"/>
  <c r="M138" i="4" l="1"/>
  <c r="N138" i="4" s="1"/>
  <c r="B139" i="4" s="1"/>
  <c r="E85" i="4"/>
  <c r="F85" i="4" s="1"/>
  <c r="I85" i="4" s="1"/>
  <c r="J85" i="4" s="1"/>
  <c r="K85" i="4" s="1"/>
  <c r="L84" i="4"/>
  <c r="E139" i="4" l="1"/>
  <c r="F139" i="4" s="1"/>
  <c r="K139" i="4" s="1"/>
  <c r="L139" i="4" s="1"/>
  <c r="L85" i="4"/>
  <c r="E86" i="4"/>
  <c r="F86" i="4" s="1"/>
  <c r="I86" i="4" s="1"/>
  <c r="J86" i="4" s="1"/>
  <c r="K86" i="4" s="1"/>
  <c r="M139" i="4" l="1"/>
  <c r="N139" i="4" s="1"/>
  <c r="E87" i="4"/>
  <c r="F87" i="4" s="1"/>
  <c r="I87" i="4" s="1"/>
  <c r="J87" i="4" s="1"/>
  <c r="K87" i="4" s="1"/>
  <c r="L86" i="4"/>
  <c r="B140" i="4" l="1"/>
  <c r="E140" i="4" s="1"/>
  <c r="F140" i="4" s="1"/>
  <c r="K140" i="4" s="1"/>
  <c r="L140" i="4" s="1"/>
  <c r="L87" i="4"/>
  <c r="E88" i="4"/>
  <c r="F88" i="4" s="1"/>
  <c r="I88" i="4" s="1"/>
  <c r="J88" i="4" s="1"/>
  <c r="K88" i="4" s="1"/>
  <c r="M140" i="4" l="1"/>
  <c r="N140" i="4" s="1"/>
  <c r="E89" i="4"/>
  <c r="F89" i="4" s="1"/>
  <c r="I89" i="4" s="1"/>
  <c r="J89" i="4" s="1"/>
  <c r="K89" i="4" s="1"/>
  <c r="L88" i="4"/>
  <c r="B141" i="4" l="1"/>
  <c r="E141" i="4"/>
  <c r="F141" i="4" s="1"/>
  <c r="K141" i="4" s="1"/>
  <c r="L141" i="4" s="1"/>
  <c r="L89" i="4"/>
  <c r="E90" i="4"/>
  <c r="F90" i="4" s="1"/>
  <c r="I90" i="4" s="1"/>
  <c r="J90" i="4" s="1"/>
  <c r="K90" i="4" s="1"/>
  <c r="L90" i="4" s="1"/>
  <c r="M141" i="4" l="1"/>
  <c r="N141" i="4" s="1"/>
  <c r="B142" i="4" l="1"/>
  <c r="E142" i="4"/>
  <c r="F142" i="4" s="1"/>
  <c r="K142" i="4" s="1"/>
  <c r="L142" i="4" s="1"/>
  <c r="M142" i="4" l="1"/>
  <c r="N142" i="4" s="1"/>
  <c r="B143" i="4" s="1"/>
  <c r="E143" i="4" s="1"/>
  <c r="F143" i="4" s="1"/>
  <c r="K143" i="4" s="1"/>
  <c r="L143" i="4" s="1"/>
  <c r="M143" i="4" l="1"/>
  <c r="N143" i="4" s="1"/>
  <c r="B144" i="4" s="1"/>
  <c r="E144" i="4" l="1"/>
  <c r="F144" i="4" s="1"/>
  <c r="K144" i="4" s="1"/>
  <c r="L144" i="4" s="1"/>
  <c r="M144" i="4" l="1"/>
  <c r="N144" i="4" s="1"/>
  <c r="B145" i="4" s="1"/>
  <c r="E145" i="4" l="1"/>
  <c r="F145" i="4" s="1"/>
  <c r="K145" i="4" s="1"/>
  <c r="L145" i="4" s="1"/>
  <c r="M145" i="4" l="1"/>
  <c r="N145" i="4" s="1"/>
  <c r="B146" i="4" s="1"/>
  <c r="E146" i="4" l="1"/>
  <c r="F146" i="4" s="1"/>
  <c r="K146" i="4" s="1"/>
  <c r="L146" i="4" s="1"/>
  <c r="M146" i="4" l="1"/>
  <c r="N146" i="4" s="1"/>
  <c r="E147" i="4" s="1"/>
  <c r="F147" i="4" s="1"/>
  <c r="K147" i="4" s="1"/>
  <c r="L147" i="4" s="1"/>
  <c r="B147" i="4" l="1"/>
  <c r="M147" i="4" s="1"/>
  <c r="N147" i="4" s="1"/>
  <c r="B148" i="4" l="1"/>
  <c r="E148" i="4"/>
  <c r="F148" i="4" s="1"/>
  <c r="K148" i="4" s="1"/>
  <c r="L148" i="4" s="1"/>
  <c r="M148" i="4" l="1"/>
  <c r="N148" i="4" s="1"/>
  <c r="B149" i="4" l="1"/>
  <c r="E149" i="4" s="1"/>
  <c r="F149" i="4" s="1"/>
  <c r="K149" i="4" s="1"/>
  <c r="L149" i="4" s="1"/>
  <c r="M149" i="4" l="1"/>
  <c r="N149" i="4" s="1"/>
  <c r="B150" i="4" l="1"/>
  <c r="E150" i="4"/>
  <c r="F150" i="4" s="1"/>
  <c r="K150" i="4" s="1"/>
  <c r="L150" i="4" s="1"/>
  <c r="M150" i="4" l="1"/>
  <c r="N150" i="4" s="1"/>
  <c r="E151" i="4" l="1"/>
  <c r="F151" i="4" s="1"/>
  <c r="K151" i="4" s="1"/>
  <c r="L151" i="4" s="1"/>
  <c r="B151" i="4"/>
  <c r="M151" i="4" l="1"/>
  <c r="N151" i="4" s="1"/>
  <c r="B152" i="4" l="1"/>
  <c r="E152" i="4" s="1"/>
  <c r="F152" i="4" s="1"/>
  <c r="K152" i="4" s="1"/>
  <c r="L152" i="4" s="1"/>
  <c r="M152" i="4" l="1"/>
  <c r="N152" i="4" s="1"/>
  <c r="B153" i="4" l="1"/>
  <c r="E153" i="4"/>
  <c r="F153" i="4" s="1"/>
  <c r="K153" i="4" s="1"/>
  <c r="L153" i="4" s="1"/>
  <c r="M153" i="4" l="1"/>
  <c r="N153" i="4" s="1"/>
  <c r="B154" i="4" l="1"/>
  <c r="E154" i="4"/>
  <c r="F154" i="4" s="1"/>
  <c r="K154" i="4" s="1"/>
  <c r="L154" i="4" s="1"/>
  <c r="I43" i="1"/>
  <c r="I44" i="1"/>
  <c r="M154" i="4" l="1"/>
  <c r="N154" i="4" s="1"/>
  <c r="E155" i="4" s="1"/>
  <c r="F155" i="4" s="1"/>
  <c r="K155" i="4" s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10" i="1"/>
  <c r="L155" i="4" l="1"/>
  <c r="M155" i="4" s="1"/>
  <c r="N155" i="4" s="1"/>
</calcChain>
</file>

<file path=xl/sharedStrings.xml><?xml version="1.0" encoding="utf-8"?>
<sst xmlns="http://schemas.openxmlformats.org/spreadsheetml/2006/main" count="217" uniqueCount="176">
  <si>
    <t xml:space="preserve">  </t>
  </si>
  <si>
    <t xml:space="preserve"> </t>
  </si>
  <si>
    <t>T</t>
  </si>
  <si>
    <t xml:space="preserve">Manipulate Variables </t>
  </si>
  <si>
    <t xml:space="preserve">Manipulated Variable </t>
  </si>
  <si>
    <t>xa</t>
  </si>
  <si>
    <t xml:space="preserve">ya </t>
  </si>
  <si>
    <t xml:space="preserve">Rf-Multiplier </t>
  </si>
  <si>
    <t>Given Parameters</t>
  </si>
  <si>
    <t>xf</t>
  </si>
  <si>
    <t>F</t>
  </si>
  <si>
    <t>Xd</t>
  </si>
  <si>
    <t>xw</t>
  </si>
  <si>
    <t>y=x line</t>
  </si>
  <si>
    <t>Q-Line X Data</t>
  </si>
  <si>
    <t>Q-Line Y Data</t>
  </si>
  <si>
    <t>Enriching Line X Data</t>
  </si>
  <si>
    <t>Enriching Line Y Data</t>
  </si>
  <si>
    <t>Stripping Line X Data</t>
  </si>
  <si>
    <t>Stripping Line Y Data</t>
  </si>
  <si>
    <t xml:space="preserve"> Theoritical Stages X Data</t>
  </si>
  <si>
    <t>Theoritical Stages Y Data</t>
  </si>
  <si>
    <t>xIntersect</t>
  </si>
  <si>
    <t>yIntersect</t>
  </si>
  <si>
    <t xml:space="preserve">L </t>
  </si>
  <si>
    <t xml:space="preserve">v </t>
  </si>
  <si>
    <t xml:space="preserve">number of stages </t>
  </si>
  <si>
    <t xml:space="preserve">Actual Reflux </t>
  </si>
  <si>
    <t xml:space="preserve"> Qc</t>
  </si>
  <si>
    <t xml:space="preserve">Qr </t>
  </si>
  <si>
    <t xml:space="preserve">Set Temperature </t>
  </si>
  <si>
    <t>Set Rf</t>
  </si>
  <si>
    <t>Range: 341.48-376.88</t>
  </si>
  <si>
    <t>Range: 1.2-1.5</t>
  </si>
  <si>
    <t xml:space="preserve">Number of Temperature  Itteration </t>
  </si>
  <si>
    <t xml:space="preserve">q </t>
  </si>
  <si>
    <t>BUBBLE POINT OF FEED</t>
  </si>
  <si>
    <t>VAPOUR POINT OF FEED</t>
  </si>
  <si>
    <t xml:space="preserve">Number of Temperature itterations </t>
  </si>
  <si>
    <t>Calculated Parameters:</t>
  </si>
  <si>
    <t>Number of Reflux ratio Itterations</t>
  </si>
  <si>
    <t xml:space="preserve">Number of Reflux Ratio Itteration </t>
  </si>
  <si>
    <t xml:space="preserve">Trays: </t>
  </si>
  <si>
    <t>ya</t>
  </si>
  <si>
    <t xml:space="preserve">Temperature </t>
  </si>
  <si>
    <t>( Range:</t>
  </si>
  <si>
    <t>341.48-376.38)</t>
  </si>
  <si>
    <t>(Rf:</t>
  </si>
  <si>
    <t>1.2-1.5)</t>
  </si>
  <si>
    <t xml:space="preserve">Component </t>
  </si>
  <si>
    <t>Acetone</t>
  </si>
  <si>
    <t>Butanol</t>
  </si>
  <si>
    <r>
      <t xml:space="preserve">T [K] </t>
    </r>
    <r>
      <rPr>
        <b/>
        <i/>
        <sz val="12"/>
        <color theme="1"/>
        <rFont val="Times New Roman"/>
        <family val="1"/>
      </rPr>
      <t/>
    </r>
  </si>
  <si>
    <t>xB</t>
  </si>
  <si>
    <t>yB</t>
  </si>
  <si>
    <t>cpA</t>
  </si>
  <si>
    <t>cpB</t>
  </si>
  <si>
    <t>cpyA</t>
  </si>
  <si>
    <t>cpyB</t>
  </si>
  <si>
    <t>h</t>
  </si>
  <si>
    <t>H</t>
  </si>
  <si>
    <t>xA</t>
  </si>
  <si>
    <t>h (liquid) kJ/kg</t>
  </si>
  <si>
    <t>yA</t>
  </si>
  <si>
    <t>H (vapor) kJ/kg</t>
  </si>
  <si>
    <t>Equation of h or H set to 0</t>
  </si>
  <si>
    <t>Latent Heats</t>
  </si>
  <si>
    <t>lambdaAb (J/mol)</t>
  </si>
  <si>
    <t>lambda Bb (J/mol)</t>
  </si>
  <si>
    <t>h (new)</t>
  </si>
  <si>
    <t>lambda A (J/mol)</t>
  </si>
  <si>
    <t>lambda B (J/mol)</t>
  </si>
  <si>
    <t>H (new)</t>
  </si>
  <si>
    <t>cpyA (J/kgK)</t>
  </si>
  <si>
    <t>cpyB (J/kgK)</t>
  </si>
  <si>
    <t xml:space="preserve">Heat Capacity </t>
  </si>
  <si>
    <t>cpA (J/kgK)</t>
  </si>
  <si>
    <t>cpB (J/kgK)</t>
  </si>
  <si>
    <t>Final equation for enriching operating line</t>
  </si>
  <si>
    <t>TbA (K)</t>
  </si>
  <si>
    <t>TbB (K)</t>
  </si>
  <si>
    <t>TF (K)</t>
  </si>
  <si>
    <t>Average bp</t>
  </si>
  <si>
    <t>xd</t>
  </si>
  <si>
    <t>y1=xd</t>
  </si>
  <si>
    <t>To (K)</t>
  </si>
  <si>
    <t xml:space="preserve">equilibrium line </t>
  </si>
  <si>
    <t>T xa</t>
  </si>
  <si>
    <t>T ya</t>
  </si>
  <si>
    <t xml:space="preserve">phase </t>
  </si>
  <si>
    <t>Gas</t>
  </si>
  <si>
    <t>Liquid</t>
  </si>
  <si>
    <t xml:space="preserve">Liquid </t>
  </si>
  <si>
    <t>A</t>
  </si>
  <si>
    <t>H1</t>
  </si>
  <si>
    <t>hd</t>
  </si>
  <si>
    <t>B</t>
  </si>
  <si>
    <t>C</t>
  </si>
  <si>
    <t>D</t>
  </si>
  <si>
    <t>E</t>
  </si>
  <si>
    <t>Iterations</t>
  </si>
  <si>
    <t>Enriching Operating Line</t>
  </si>
  <si>
    <t>Vold</t>
  </si>
  <si>
    <t xml:space="preserve">L old </t>
  </si>
  <si>
    <t>xn (asumed)</t>
  </si>
  <si>
    <t>yn+1</t>
  </si>
  <si>
    <t>Hn+1</t>
  </si>
  <si>
    <t>hn</t>
  </si>
  <si>
    <t>hD</t>
  </si>
  <si>
    <t>Vn+1 (new)</t>
  </si>
  <si>
    <t>Ln (new)</t>
  </si>
  <si>
    <t>yn+1 (new)</t>
  </si>
  <si>
    <t>Close</t>
  </si>
  <si>
    <t>xn</t>
  </si>
  <si>
    <t>yn+1 new</t>
  </si>
  <si>
    <t xml:space="preserve">OPTIMIZED RESULT : </t>
  </si>
  <si>
    <t>Q-Line :</t>
  </si>
  <si>
    <t>Y= 8.354x - 0.8257</t>
  </si>
  <si>
    <t>y = -0.5232x + 0.7616</t>
  </si>
  <si>
    <t>Stripping Line</t>
  </si>
  <si>
    <t xml:space="preserve">Enriching Line </t>
  </si>
  <si>
    <t>y = 0.3656x + 0.6027</t>
  </si>
  <si>
    <t>Temperature: 374.5K</t>
  </si>
  <si>
    <t>Rf: 1.2</t>
  </si>
  <si>
    <t>Temperature</t>
  </si>
  <si>
    <t>Rf Ratio</t>
  </si>
  <si>
    <t>L</t>
  </si>
  <si>
    <t>v</t>
  </si>
  <si>
    <t>q</t>
  </si>
  <si>
    <t>Actual Reflux</t>
  </si>
  <si>
    <t>Qc</t>
  </si>
  <si>
    <t>Qr</t>
  </si>
  <si>
    <t>Number of Stages</t>
  </si>
  <si>
    <t xml:space="preserve">qc=V*H1-L*hd-D*hd </t>
  </si>
  <si>
    <t>qc</t>
  </si>
  <si>
    <t>J/hr</t>
  </si>
  <si>
    <t>yw</t>
  </si>
  <si>
    <t>y</t>
  </si>
  <si>
    <t>x</t>
  </si>
  <si>
    <t>stripping section</t>
  </si>
  <si>
    <t>Ln = W+ Vw</t>
  </si>
  <si>
    <t>Vw = (W*hn + qr -W*hw)/(Hw - hn)</t>
  </si>
  <si>
    <t>Vw*Hw = (Vw + W)hn + qr -W*hw</t>
  </si>
  <si>
    <t>qr = D*hd + W*hw + qc - F* hf</t>
  </si>
  <si>
    <t>Lm = Ln+ qF</t>
  </si>
  <si>
    <t>Vm+1 = Vn+1-(1-q)F</t>
  </si>
  <si>
    <t xml:space="preserve">From equilibrium data </t>
  </si>
  <si>
    <t xml:space="preserve">y = -44.311x^6 + 151.55x^5 - 204.29x^4 + 138.13x^3 - 49.664x^2 + 9.5597^x + 0.0119
</t>
  </si>
  <si>
    <t xml:space="preserve">xw </t>
  </si>
  <si>
    <t xml:space="preserve">vapour composition leaving reboiler </t>
  </si>
  <si>
    <t>optimum q</t>
  </si>
  <si>
    <t xml:space="preserve">optimum feed temperature </t>
  </si>
  <si>
    <t>feed</t>
  </si>
  <si>
    <t>kmol/hr</t>
  </si>
  <si>
    <t>W</t>
  </si>
  <si>
    <t>Lm</t>
  </si>
  <si>
    <t>Vm + 1</t>
  </si>
  <si>
    <t>Xn</t>
  </si>
  <si>
    <t>Hw</t>
  </si>
  <si>
    <t>hf</t>
  </si>
  <si>
    <t>hw</t>
  </si>
  <si>
    <t>qr</t>
  </si>
  <si>
    <t>Vw</t>
  </si>
  <si>
    <t>Ln</t>
  </si>
  <si>
    <t>Xn new</t>
  </si>
  <si>
    <t>close</t>
  </si>
  <si>
    <t xml:space="preserve">enriching line </t>
  </si>
  <si>
    <t xml:space="preserve">stripping line </t>
  </si>
  <si>
    <t xml:space="preserve">equilibrium data </t>
  </si>
  <si>
    <t>45 line</t>
  </si>
  <si>
    <r>
      <rPr>
        <b/>
        <i/>
        <sz val="8"/>
        <color theme="8"/>
        <rFont val="Times New Roman"/>
        <family val="1"/>
      </rPr>
      <t xml:space="preserve">xA </t>
    </r>
    <r>
      <rPr>
        <b/>
        <sz val="12"/>
        <color theme="8"/>
        <rFont val="Calibri-Bold"/>
        <charset val="1"/>
      </rPr>
      <t>[mol/mol]</t>
    </r>
  </si>
  <si>
    <r>
      <rPr>
        <b/>
        <i/>
        <sz val="12"/>
        <color theme="8"/>
        <rFont val="Times New Roman"/>
        <family val="1"/>
      </rPr>
      <t>y</t>
    </r>
    <r>
      <rPr>
        <b/>
        <i/>
        <sz val="8"/>
        <color theme="8"/>
        <rFont val="Times New Roman"/>
        <family val="1"/>
      </rPr>
      <t xml:space="preserve">A </t>
    </r>
    <r>
      <rPr>
        <b/>
        <sz val="12"/>
        <color theme="8"/>
        <rFont val="Calibri-Bold"/>
        <charset val="1"/>
      </rPr>
      <t>[mol/mol]</t>
    </r>
  </si>
  <si>
    <t xml:space="preserve">q line </t>
  </si>
  <si>
    <t xml:space="preserve">equations for stripping section </t>
  </si>
  <si>
    <t>known data</t>
  </si>
  <si>
    <t xml:space="preserve">optimum data from base case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</si>
</sst>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60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5"/>
      <color rgb="FF353535"/>
      <name val="Arial"/>
      <family val="2"/>
    </font>
    <font>
      <b/>
      <sz val="15"/>
      <color theme="1"/>
      <name val="Arial"/>
      <family val="2"/>
    </font>
    <font>
      <sz val="15"/>
      <color theme="1"/>
      <name val="Arial"/>
      <family val="2"/>
    </font>
    <font>
      <b/>
      <sz val="15"/>
      <color theme="1"/>
      <name val="Calibri"/>
      <family val="2"/>
      <scheme val="minor"/>
    </font>
    <font>
      <b/>
      <sz val="15"/>
      <color theme="8" tint="-0.249977111117893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sz val="15"/>
      <color theme="8" tint="-0.249977111117893"/>
      <name val="Calibri"/>
      <family val="2"/>
      <scheme val="minor"/>
    </font>
    <font>
      <b/>
      <i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9"/>
      <color rgb="FF595959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5"/>
      <color rgb="FF595959"/>
      <name val="Calibri"/>
      <family val="2"/>
      <scheme val="minor"/>
    </font>
    <font>
      <b/>
      <sz val="15"/>
      <color rgb="FF27AB46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2"/>
      <color rgb="FF595959"/>
      <name val="Times New Roman"/>
      <family val="1"/>
    </font>
    <font>
      <sz val="11"/>
      <color rgb="FF000000"/>
      <name val="Calibri"/>
      <family val="2"/>
    </font>
    <font>
      <sz val="11"/>
      <color rgb="FFCC3399"/>
      <name val="Calibri"/>
      <family val="2"/>
      <scheme val="minor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color theme="8"/>
      <name val="Calibri-Bold"/>
      <charset val="1"/>
    </font>
    <font>
      <b/>
      <sz val="12"/>
      <color theme="8"/>
      <name val="Calibri-Bold"/>
      <family val="1"/>
      <charset val="1"/>
    </font>
    <font>
      <b/>
      <i/>
      <sz val="8"/>
      <color theme="8"/>
      <name val="Times New Roman"/>
      <family val="1"/>
    </font>
    <font>
      <b/>
      <i/>
      <sz val="12"/>
      <color theme="8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DFF"/>
        <bgColor indexed="64"/>
      </patternFill>
    </fill>
    <fill>
      <patternFill patternType="solid">
        <fgColor rgb="FFD0EEF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E3DE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9" xfId="0" applyFont="1" applyBorder="1"/>
    <xf numFmtId="0" fontId="0" fillId="0" borderId="0" xfId="0" applyAlignment="1">
      <alignment horizontal="left"/>
    </xf>
    <xf numFmtId="0" fontId="2" fillId="0" borderId="0" xfId="0" applyFont="1"/>
    <xf numFmtId="0" fontId="5" fillId="0" borderId="5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11" xfId="0" applyFont="1" applyBorder="1" applyAlignment="1">
      <alignment horizontal="left"/>
    </xf>
    <xf numFmtId="0" fontId="0" fillId="0" borderId="0" xfId="0" applyAlignment="1">
      <alignment horizontal="center" vertical="center"/>
    </xf>
    <xf numFmtId="0" fontId="6" fillId="2" borderId="6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top"/>
    </xf>
    <xf numFmtId="0" fontId="6" fillId="2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8" fillId="4" borderId="14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9" borderId="3" xfId="0" applyFont="1" applyFill="1" applyBorder="1" applyAlignment="1">
      <alignment horizontal="center"/>
    </xf>
    <xf numFmtId="0" fontId="7" fillId="8" borderId="4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6" borderId="1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0" borderId="0" xfId="0" applyFont="1" applyAlignment="1">
      <alignment horizontal="center" wrapText="1"/>
    </xf>
    <xf numFmtId="0" fontId="12" fillId="0" borderId="0" xfId="0" quotePrefix="1" applyFont="1" applyAlignment="1">
      <alignment horizontal="center" wrapText="1"/>
    </xf>
    <xf numFmtId="0" fontId="1" fillId="0" borderId="0" xfId="0" applyFont="1"/>
    <xf numFmtId="0" fontId="0" fillId="10" borderId="0" xfId="0" applyFill="1"/>
    <xf numFmtId="0" fontId="1" fillId="10" borderId="0" xfId="0" applyFont="1" applyFill="1"/>
    <xf numFmtId="0" fontId="17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Fill="1"/>
    <xf numFmtId="0" fontId="0" fillId="2" borderId="0" xfId="0" applyFill="1"/>
    <xf numFmtId="0" fontId="10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10" fillId="12" borderId="1" xfId="0" applyFont="1" applyFill="1" applyBorder="1" applyAlignment="1">
      <alignment horizontal="center"/>
    </xf>
    <xf numFmtId="0" fontId="10" fillId="14" borderId="0" xfId="0" applyFont="1" applyFill="1" applyBorder="1" applyAlignment="1">
      <alignment horizontal="center"/>
    </xf>
    <xf numFmtId="0" fontId="13" fillId="14" borderId="0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8" xfId="0" applyFon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20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10" fillId="13" borderId="16" xfId="0" applyFont="1" applyFill="1" applyBorder="1" applyAlignment="1">
      <alignment horizontal="center"/>
    </xf>
    <xf numFmtId="0" fontId="10" fillId="13" borderId="17" xfId="0" applyFont="1" applyFill="1" applyBorder="1" applyAlignment="1">
      <alignment horizontal="center"/>
    </xf>
    <xf numFmtId="0" fontId="10" fillId="13" borderId="18" xfId="0" applyFont="1" applyFill="1" applyBorder="1" applyAlignment="1">
      <alignment horizontal="center"/>
    </xf>
    <xf numFmtId="0" fontId="14" fillId="0" borderId="19" xfId="0" applyFont="1" applyBorder="1" applyAlignment="1">
      <alignment horizontal="center" vertic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0" fillId="12" borderId="25" xfId="0" applyFont="1" applyFill="1" applyBorder="1" applyAlignment="1">
      <alignment horizontal="center"/>
    </xf>
    <xf numFmtId="0" fontId="10" fillId="12" borderId="26" xfId="0" applyFont="1" applyFill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12" xfId="0" applyFont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27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9" fillId="0" borderId="11" xfId="0" applyFont="1" applyBorder="1" applyAlignment="1">
      <alignment wrapText="1" readingOrder="1"/>
    </xf>
    <xf numFmtId="0" fontId="10" fillId="0" borderId="13" xfId="0" applyFont="1" applyBorder="1" applyAlignment="1">
      <alignment horizontal="center"/>
    </xf>
    <xf numFmtId="0" fontId="19" fillId="0" borderId="12" xfId="0" applyFont="1" applyBorder="1" applyAlignment="1">
      <alignment wrapText="1" readingOrder="1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/>
    </xf>
    <xf numFmtId="0" fontId="0" fillId="0" borderId="38" xfId="0" applyBorder="1"/>
    <xf numFmtId="0" fontId="8" fillId="4" borderId="20" xfId="0" applyFont="1" applyFill="1" applyBorder="1" applyAlignment="1">
      <alignment horizontal="center"/>
    </xf>
    <xf numFmtId="0" fontId="7" fillId="4" borderId="40" xfId="0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/>
    </xf>
    <xf numFmtId="0" fontId="7" fillId="4" borderId="37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0" fillId="18" borderId="32" xfId="0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18" borderId="40" xfId="0" applyFill="1" applyBorder="1" applyAlignment="1">
      <alignment horizontal="center"/>
    </xf>
    <xf numFmtId="0" fontId="0" fillId="18" borderId="34" xfId="0" applyFill="1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39" xfId="0" applyFill="1" applyBorder="1" applyAlignment="1">
      <alignment horizontal="center"/>
    </xf>
    <xf numFmtId="0" fontId="25" fillId="17" borderId="32" xfId="0" applyFont="1" applyFill="1" applyBorder="1" applyAlignment="1">
      <alignment horizontal="center"/>
    </xf>
    <xf numFmtId="0" fontId="25" fillId="17" borderId="33" xfId="0" applyFont="1" applyFill="1" applyBorder="1" applyAlignment="1">
      <alignment horizontal="center"/>
    </xf>
    <xf numFmtId="0" fontId="25" fillId="17" borderId="40" xfId="0" applyFont="1" applyFill="1" applyBorder="1" applyAlignment="1">
      <alignment horizontal="center"/>
    </xf>
    <xf numFmtId="0" fontId="25" fillId="17" borderId="34" xfId="0" applyFont="1" applyFill="1" applyBorder="1" applyAlignment="1">
      <alignment horizontal="center"/>
    </xf>
    <xf numFmtId="0" fontId="25" fillId="17" borderId="37" xfId="0" applyFont="1" applyFill="1" applyBorder="1" applyAlignment="1">
      <alignment horizontal="center"/>
    </xf>
    <xf numFmtId="0" fontId="25" fillId="17" borderId="39" xfId="0" applyFont="1" applyFill="1" applyBorder="1" applyAlignment="1">
      <alignment horizontal="center"/>
    </xf>
    <xf numFmtId="0" fontId="0" fillId="15" borderId="32" xfId="0" applyFill="1" applyBorder="1" applyAlignment="1">
      <alignment horizontal="center"/>
    </xf>
    <xf numFmtId="0" fontId="0" fillId="15" borderId="33" xfId="0" applyFill="1" applyBorder="1" applyAlignment="1">
      <alignment horizontal="center"/>
    </xf>
    <xf numFmtId="0" fontId="0" fillId="15" borderId="40" xfId="0" applyFill="1" applyBorder="1" applyAlignment="1">
      <alignment horizontal="center"/>
    </xf>
    <xf numFmtId="2" fontId="0" fillId="15" borderId="34" xfId="0" applyNumberFormat="1" applyFill="1" applyBorder="1" applyAlignment="1">
      <alignment horizontal="center"/>
    </xf>
    <xf numFmtId="0" fontId="0" fillId="15" borderId="34" xfId="0" applyFill="1" applyBorder="1" applyAlignment="1">
      <alignment horizontal="center"/>
    </xf>
    <xf numFmtId="0" fontId="0" fillId="15" borderId="37" xfId="0" applyFill="1" applyBorder="1" applyAlignment="1">
      <alignment horizontal="center"/>
    </xf>
    <xf numFmtId="0" fontId="0" fillId="15" borderId="39" xfId="0" applyFill="1" applyBorder="1" applyAlignment="1">
      <alignment horizontal="center"/>
    </xf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16" fillId="16" borderId="1" xfId="0" applyFont="1" applyFill="1" applyBorder="1" applyAlignment="1">
      <alignment wrapText="1"/>
    </xf>
    <xf numFmtId="0" fontId="0" fillId="16" borderId="1" xfId="0" applyFill="1" applyBorder="1"/>
    <xf numFmtId="0" fontId="0" fillId="19" borderId="41" xfId="0" applyFill="1" applyBorder="1"/>
    <xf numFmtId="0" fontId="0" fillId="20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18" fillId="0" borderId="8" xfId="0" applyFont="1" applyBorder="1" applyAlignment="1">
      <alignment horizontal="center"/>
    </xf>
    <xf numFmtId="0" fontId="18" fillId="0" borderId="9" xfId="0" applyFont="1" applyBorder="1" applyAlignment="1">
      <alignment horizontal="center"/>
    </xf>
    <xf numFmtId="0" fontId="18" fillId="0" borderId="0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13" xfId="0" applyFont="1" applyBorder="1" applyAlignment="1">
      <alignment horizontal="center"/>
    </xf>
    <xf numFmtId="0" fontId="18" fillId="0" borderId="12" xfId="0" applyFont="1" applyBorder="1" applyAlignment="1">
      <alignment horizontal="center"/>
    </xf>
    <xf numFmtId="0" fontId="10" fillId="11" borderId="22" xfId="0" applyFont="1" applyFill="1" applyBorder="1" applyAlignment="1">
      <alignment horizontal="center"/>
    </xf>
    <xf numFmtId="0" fontId="10" fillId="11" borderId="23" xfId="0" applyFont="1" applyFill="1" applyBorder="1" applyAlignment="1">
      <alignment horizontal="center"/>
    </xf>
    <xf numFmtId="0" fontId="10" fillId="11" borderId="24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24" fillId="0" borderId="30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30" xfId="0" applyFont="1" applyBorder="1" applyAlignment="1">
      <alignment horizontal="center"/>
    </xf>
    <xf numFmtId="0" fontId="0" fillId="21" borderId="28" xfId="0" applyFill="1" applyBorder="1" applyAlignment="1">
      <alignment horizontal="center"/>
    </xf>
    <xf numFmtId="0" fontId="0" fillId="21" borderId="30" xfId="0" applyFill="1" applyBorder="1" applyAlignment="1">
      <alignment horizontal="center"/>
    </xf>
    <xf numFmtId="0" fontId="0" fillId="21" borderId="32" xfId="0" applyFill="1" applyBorder="1" applyAlignment="1">
      <alignment horizontal="center" vertical="center"/>
    </xf>
    <xf numFmtId="0" fontId="0" fillId="21" borderId="36" xfId="0" applyFill="1" applyBorder="1" applyAlignment="1">
      <alignment horizontal="center" vertical="center"/>
    </xf>
    <xf numFmtId="0" fontId="0" fillId="21" borderId="33" xfId="0" applyFill="1" applyBorder="1" applyAlignment="1">
      <alignment horizontal="center" vertical="center"/>
    </xf>
    <xf numFmtId="0" fontId="0" fillId="21" borderId="4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34" xfId="0" applyFill="1" applyBorder="1" applyAlignment="1">
      <alignment horizontal="center" vertical="center"/>
    </xf>
    <xf numFmtId="0" fontId="0" fillId="21" borderId="37" xfId="0" applyFill="1" applyBorder="1" applyAlignment="1">
      <alignment horizontal="center" vertical="center"/>
    </xf>
    <xf numFmtId="0" fontId="0" fillId="21" borderId="38" xfId="0" applyFill="1" applyBorder="1" applyAlignment="1">
      <alignment horizontal="center" vertical="center"/>
    </xf>
    <xf numFmtId="0" fontId="0" fillId="21" borderId="39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0" fillId="17" borderId="32" xfId="0" applyFill="1" applyBorder="1" applyAlignment="1">
      <alignment horizontal="center" wrapText="1"/>
    </xf>
    <xf numFmtId="0" fontId="0" fillId="17" borderId="36" xfId="0" applyFill="1" applyBorder="1" applyAlignment="1">
      <alignment horizontal="center" wrapText="1"/>
    </xf>
    <xf numFmtId="0" fontId="0" fillId="17" borderId="33" xfId="0" applyFill="1" applyBorder="1" applyAlignment="1">
      <alignment horizontal="center" wrapText="1"/>
    </xf>
    <xf numFmtId="0" fontId="0" fillId="17" borderId="37" xfId="0" applyFill="1" applyBorder="1" applyAlignment="1">
      <alignment horizontal="center" wrapText="1"/>
    </xf>
    <xf numFmtId="0" fontId="0" fillId="17" borderId="38" xfId="0" applyFill="1" applyBorder="1" applyAlignment="1">
      <alignment horizontal="center" wrapText="1"/>
    </xf>
    <xf numFmtId="0" fontId="0" fillId="17" borderId="39" xfId="0" applyFill="1" applyBorder="1" applyAlignment="1">
      <alignment horizontal="center" wrapText="1"/>
    </xf>
    <xf numFmtId="0" fontId="0" fillId="5" borderId="32" xfId="0" applyFill="1" applyBorder="1" applyAlignment="1">
      <alignment horizontal="center" vertical="center"/>
    </xf>
    <xf numFmtId="0" fontId="0" fillId="5" borderId="3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37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5" borderId="39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41" xfId="0" applyFill="1" applyBorder="1" applyAlignment="1">
      <alignment horizontal="center" vertical="center" wrapText="1"/>
    </xf>
    <xf numFmtId="0" fontId="0" fillId="5" borderId="43" xfId="0" applyFill="1" applyBorder="1" applyAlignment="1">
      <alignment horizontal="center" vertical="center" wrapText="1"/>
    </xf>
    <xf numFmtId="0" fontId="0" fillId="5" borderId="42" xfId="0" applyFill="1" applyBorder="1" applyAlignment="1">
      <alignment horizontal="center" vertical="center" wrapText="1"/>
    </xf>
    <xf numFmtId="0" fontId="0" fillId="5" borderId="41" xfId="0" applyFill="1" applyBorder="1" applyAlignment="1">
      <alignment horizontal="center"/>
    </xf>
    <xf numFmtId="0" fontId="0" fillId="5" borderId="42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21" borderId="28" xfId="0" applyFill="1" applyBorder="1" applyAlignment="1">
      <alignment horizontal="center" vertical="center"/>
    </xf>
    <xf numFmtId="0" fontId="0" fillId="21" borderId="29" xfId="0" applyFill="1" applyBorder="1" applyAlignment="1">
      <alignment horizontal="center" vertical="center"/>
    </xf>
    <xf numFmtId="0" fontId="0" fillId="21" borderId="30" xfId="0" applyFill="1" applyBorder="1" applyAlignment="1">
      <alignment horizontal="center" vertical="center"/>
    </xf>
    <xf numFmtId="0" fontId="0" fillId="21" borderId="29" xfId="0" applyFill="1" applyBorder="1" applyAlignment="1">
      <alignment horizontal="center"/>
    </xf>
    <xf numFmtId="0" fontId="0" fillId="21" borderId="32" xfId="0" applyFill="1" applyBorder="1" applyAlignment="1">
      <alignment horizontal="center"/>
    </xf>
    <xf numFmtId="0" fontId="0" fillId="21" borderId="36" xfId="0" applyFill="1" applyBorder="1" applyAlignment="1">
      <alignment horizontal="center"/>
    </xf>
    <xf numFmtId="0" fontId="0" fillId="21" borderId="33" xfId="0" applyFill="1" applyBorder="1" applyAlignment="1">
      <alignment horizontal="center"/>
    </xf>
    <xf numFmtId="0" fontId="0" fillId="21" borderId="37" xfId="0" applyFill="1" applyBorder="1" applyAlignment="1">
      <alignment horizontal="center"/>
    </xf>
    <xf numFmtId="0" fontId="0" fillId="21" borderId="38" xfId="0" applyFill="1" applyBorder="1" applyAlignment="1">
      <alignment horizontal="center"/>
    </xf>
    <xf numFmtId="0" fontId="0" fillId="21" borderId="39" xfId="0" applyFill="1" applyBorder="1" applyAlignment="1">
      <alignment horizontal="center"/>
    </xf>
    <xf numFmtId="0" fontId="22" fillId="0" borderId="28" xfId="0" applyFont="1" applyBorder="1" applyAlignment="1">
      <alignment horizontal="center" vertical="center" readingOrder="1"/>
    </xf>
    <xf numFmtId="0" fontId="22" fillId="0" borderId="29" xfId="0" applyFont="1" applyBorder="1" applyAlignment="1">
      <alignment horizontal="center" vertical="center" readingOrder="1"/>
    </xf>
    <xf numFmtId="0" fontId="22" fillId="0" borderId="30" xfId="0" applyFont="1" applyBorder="1" applyAlignment="1">
      <alignment horizontal="center" vertical="center" readingOrder="1"/>
    </xf>
    <xf numFmtId="0" fontId="0" fillId="0" borderId="7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</cellXfs>
  <cellStyles count="1">
    <cellStyle name="Normal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CC3399"/>
      <color rgb="FF27AB46"/>
      <color rgb="FFB1B121"/>
      <color rgb="FF656313"/>
      <color rgb="FFE3DE00"/>
      <color rgb="FFFFFFAB"/>
      <color rgb="FFD0EEF8"/>
      <color rgb="FFFFC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0.xml"/><Relationship Id="rId1" Type="http://schemas.microsoft.com/office/2011/relationships/chartStyle" Target="style10.xml"/><Relationship Id="rId4" Type="http://schemas.openxmlformats.org/officeDocument/2006/relationships/chartUserShapes" Target="../drawings/drawing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Temperature</a:t>
            </a:r>
            <a:r>
              <a:rPr lang="en-CA" baseline="0"/>
              <a:t> Vs vapour/liquid fraction of acetone  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379812526615"/>
          <c:y val="0.12951198783853229"/>
          <c:w val="0.84152429713447607"/>
          <c:h val="0.71543919664806277"/>
        </c:manualLayout>
      </c:layout>
      <c:scatterChart>
        <c:scatterStyle val="lineMarker"/>
        <c:varyColors val="0"/>
        <c:ser>
          <c:idx val="0"/>
          <c:order val="0"/>
          <c:tx>
            <c:v>xa vs 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545612423447069"/>
                  <c:y val="-5.616324001166520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baseDesign!$C$10:$C$26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baseDesign!$B$10:$B$26</c:f>
              <c:numCache>
                <c:formatCode>General</c:formatCode>
                <c:ptCount val="17"/>
                <c:pt idx="0">
                  <c:v>390.85</c:v>
                </c:pt>
                <c:pt idx="1">
                  <c:v>388.15</c:v>
                </c:pt>
                <c:pt idx="2">
                  <c:v>385.15</c:v>
                </c:pt>
                <c:pt idx="3">
                  <c:v>380.25</c:v>
                </c:pt>
                <c:pt idx="4">
                  <c:v>376.95</c:v>
                </c:pt>
                <c:pt idx="5">
                  <c:v>364.85</c:v>
                </c:pt>
                <c:pt idx="6">
                  <c:v>360.05</c:v>
                </c:pt>
                <c:pt idx="7">
                  <c:v>358.55</c:v>
                </c:pt>
                <c:pt idx="8">
                  <c:v>354.85</c:v>
                </c:pt>
                <c:pt idx="9">
                  <c:v>351.95</c:v>
                </c:pt>
                <c:pt idx="10">
                  <c:v>341.75</c:v>
                </c:pt>
                <c:pt idx="11">
                  <c:v>339.35</c:v>
                </c:pt>
                <c:pt idx="12">
                  <c:v>337.65</c:v>
                </c:pt>
                <c:pt idx="13">
                  <c:v>334.75</c:v>
                </c:pt>
                <c:pt idx="14">
                  <c:v>333.15</c:v>
                </c:pt>
                <c:pt idx="15">
                  <c:v>331.25</c:v>
                </c:pt>
                <c:pt idx="16">
                  <c:v>329.15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07-4879-BA11-943CA855DD19}"/>
            </c:ext>
          </c:extLst>
        </c:ser>
        <c:ser>
          <c:idx val="1"/>
          <c:order val="1"/>
          <c:tx>
            <c:v>ya Vs T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8.7980752405949256E-2"/>
                  <c:y val="-0.4750539515893846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baseDesign!$D$10:$D$26</c:f>
              <c:numCache>
                <c:formatCode>General</c:formatCode>
                <c:ptCount val="17"/>
                <c:pt idx="0">
                  <c:v>0</c:v>
                </c:pt>
                <c:pt idx="1">
                  <c:v>0.105</c:v>
                </c:pt>
                <c:pt idx="2">
                  <c:v>0.22500000000000001</c:v>
                </c:pt>
                <c:pt idx="3">
                  <c:v>0.40500000000000003</c:v>
                </c:pt>
                <c:pt idx="4">
                  <c:v>0.47199999999999998</c:v>
                </c:pt>
                <c:pt idx="5">
                  <c:v>0.69799999999999995</c:v>
                </c:pt>
                <c:pt idx="6">
                  <c:v>0.75</c:v>
                </c:pt>
                <c:pt idx="7">
                  <c:v>0.77300000000000002</c:v>
                </c:pt>
                <c:pt idx="8">
                  <c:v>0.80900000000000005</c:v>
                </c:pt>
                <c:pt idx="9">
                  <c:v>0.83699999999999997</c:v>
                </c:pt>
                <c:pt idx="10">
                  <c:v>0.93</c:v>
                </c:pt>
                <c:pt idx="11">
                  <c:v>0.94299999999999995</c:v>
                </c:pt>
                <c:pt idx="12">
                  <c:v>0.95099999999999996</c:v>
                </c:pt>
                <c:pt idx="13">
                  <c:v>0.97199999999999998</c:v>
                </c:pt>
                <c:pt idx="14">
                  <c:v>0.97799999999999998</c:v>
                </c:pt>
                <c:pt idx="15">
                  <c:v>0.98799999999999999</c:v>
                </c:pt>
                <c:pt idx="16">
                  <c:v>1</c:v>
                </c:pt>
              </c:numCache>
            </c:numRef>
          </c:xVal>
          <c:yVal>
            <c:numRef>
              <c:f>baseDesign!$B$10:$B$27</c:f>
              <c:numCache>
                <c:formatCode>General</c:formatCode>
                <c:ptCount val="18"/>
                <c:pt idx="0">
                  <c:v>390.85</c:v>
                </c:pt>
                <c:pt idx="1">
                  <c:v>388.15</c:v>
                </c:pt>
                <c:pt idx="2">
                  <c:v>385.15</c:v>
                </c:pt>
                <c:pt idx="3">
                  <c:v>380.25</c:v>
                </c:pt>
                <c:pt idx="4">
                  <c:v>376.95</c:v>
                </c:pt>
                <c:pt idx="5">
                  <c:v>364.85</c:v>
                </c:pt>
                <c:pt idx="6">
                  <c:v>360.05</c:v>
                </c:pt>
                <c:pt idx="7">
                  <c:v>358.55</c:v>
                </c:pt>
                <c:pt idx="8">
                  <c:v>354.85</c:v>
                </c:pt>
                <c:pt idx="9">
                  <c:v>351.95</c:v>
                </c:pt>
                <c:pt idx="10">
                  <c:v>341.75</c:v>
                </c:pt>
                <c:pt idx="11">
                  <c:v>339.35</c:v>
                </c:pt>
                <c:pt idx="12">
                  <c:v>337.65</c:v>
                </c:pt>
                <c:pt idx="13">
                  <c:v>334.75</c:v>
                </c:pt>
                <c:pt idx="14">
                  <c:v>333.15</c:v>
                </c:pt>
                <c:pt idx="15">
                  <c:v>331.25</c:v>
                </c:pt>
                <c:pt idx="16">
                  <c:v>329.15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07-4879-BA11-943CA855D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5659664"/>
        <c:axId val="855659104"/>
      </c:scatterChart>
      <c:valAx>
        <c:axId val="85565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 b="0" i="0" u="none" strike="noStrike" baseline="0">
                    <a:effectLst/>
                  </a:rPr>
                  <a:t>xa/ya</a:t>
                </a:r>
                <a:endParaRPr lang="en-CA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59104"/>
        <c:crosses val="autoZero"/>
        <c:crossBetween val="midCat"/>
      </c:valAx>
      <c:valAx>
        <c:axId val="85565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Temperature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56596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74891382914439E-2"/>
          <c:y val="7.6850413482144331E-2"/>
          <c:w val="0.78972598015996087"/>
          <c:h val="0.83963197374200282"/>
        </c:manualLayout>
      </c:layout>
      <c:scatterChart>
        <c:scatterStyle val="lineMarker"/>
        <c:varyColors val="0"/>
        <c:ser>
          <c:idx val="0"/>
          <c:order val="0"/>
          <c:tx>
            <c:v>Xa vs ya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6"/>
            <c:dispRSqr val="0"/>
            <c:dispEq val="0"/>
          </c:trendline>
          <c:xVal>
            <c:numRef>
              <c:f>baseDesign!$C$10:$C$26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baseDesign!$D$10:$D$26</c:f>
              <c:numCache>
                <c:formatCode>General</c:formatCode>
                <c:ptCount val="17"/>
                <c:pt idx="0">
                  <c:v>0</c:v>
                </c:pt>
                <c:pt idx="1">
                  <c:v>0.105</c:v>
                </c:pt>
                <c:pt idx="2">
                  <c:v>0.22500000000000001</c:v>
                </c:pt>
                <c:pt idx="3">
                  <c:v>0.40500000000000003</c:v>
                </c:pt>
                <c:pt idx="4">
                  <c:v>0.47199999999999998</c:v>
                </c:pt>
                <c:pt idx="5">
                  <c:v>0.69799999999999995</c:v>
                </c:pt>
                <c:pt idx="6">
                  <c:v>0.75</c:v>
                </c:pt>
                <c:pt idx="7">
                  <c:v>0.77300000000000002</c:v>
                </c:pt>
                <c:pt idx="8">
                  <c:v>0.80900000000000005</c:v>
                </c:pt>
                <c:pt idx="9">
                  <c:v>0.83699999999999997</c:v>
                </c:pt>
                <c:pt idx="10">
                  <c:v>0.93</c:v>
                </c:pt>
                <c:pt idx="11">
                  <c:v>0.94299999999999995</c:v>
                </c:pt>
                <c:pt idx="12">
                  <c:v>0.95099999999999996</c:v>
                </c:pt>
                <c:pt idx="13">
                  <c:v>0.97199999999999998</c:v>
                </c:pt>
                <c:pt idx="14">
                  <c:v>0.97799999999999998</c:v>
                </c:pt>
                <c:pt idx="15">
                  <c:v>0.98799999999999999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9-4CD2-9D54-0301F75DF7E9}"/>
            </c:ext>
          </c:extLst>
        </c:ser>
        <c:ser>
          <c:idx val="1"/>
          <c:order val="1"/>
          <c:tx>
            <c:v>y=x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baseDesign!$C$10:$C$26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baseDesign!$E$10:$E$26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89-48BA-991A-463DD6EE2B9B}"/>
            </c:ext>
          </c:extLst>
        </c:ser>
        <c:ser>
          <c:idx val="2"/>
          <c:order val="2"/>
          <c:tx>
            <c:v>qline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baseDesign!$R$10:$R$59</c:f>
              <c:numCache>
                <c:formatCode>General</c:formatCode>
                <c:ptCount val="50"/>
                <c:pt idx="0">
                  <c:v>0.38000000000000006</c:v>
                </c:pt>
                <c:pt idx="1">
                  <c:v>0.40000000000000008</c:v>
                </c:pt>
                <c:pt idx="2">
                  <c:v>0.4200000000000001</c:v>
                </c:pt>
                <c:pt idx="3">
                  <c:v>0.44000000000000011</c:v>
                </c:pt>
                <c:pt idx="4">
                  <c:v>0.46000000000000013</c:v>
                </c:pt>
                <c:pt idx="5">
                  <c:v>0.48000000000000015</c:v>
                </c:pt>
                <c:pt idx="6">
                  <c:v>0.50000000000000011</c:v>
                </c:pt>
                <c:pt idx="7">
                  <c:v>0.52000000000000013</c:v>
                </c:pt>
                <c:pt idx="8">
                  <c:v>0.54000000000000015</c:v>
                </c:pt>
                <c:pt idx="9">
                  <c:v>0.56000000000000016</c:v>
                </c:pt>
                <c:pt idx="10">
                  <c:v>0.58000000000000018</c:v>
                </c:pt>
                <c:pt idx="11">
                  <c:v>0.6000000000000002</c:v>
                </c:pt>
                <c:pt idx="12">
                  <c:v>0.62000000000000022</c:v>
                </c:pt>
                <c:pt idx="13">
                  <c:v>0.64000000000000024</c:v>
                </c:pt>
              </c:numCache>
            </c:numRef>
          </c:xVal>
          <c:yVal>
            <c:numRef>
              <c:f>baseDesign!$S$10:$S$59</c:f>
              <c:numCache>
                <c:formatCode>General</c:formatCode>
                <c:ptCount val="50"/>
                <c:pt idx="0">
                  <c:v>0.96154839425329519</c:v>
                </c:pt>
                <c:pt idx="1">
                  <c:v>0.88462366187774588</c:v>
                </c:pt>
                <c:pt idx="2">
                  <c:v>0.80769892950219657</c:v>
                </c:pt>
                <c:pt idx="3">
                  <c:v>0.73077419712664726</c:v>
                </c:pt>
                <c:pt idx="4">
                  <c:v>0.65384946475109795</c:v>
                </c:pt>
                <c:pt idx="5">
                  <c:v>0.57692473237554864</c:v>
                </c:pt>
                <c:pt idx="6">
                  <c:v>0.49999999999999956</c:v>
                </c:pt>
                <c:pt idx="7">
                  <c:v>0.42307526762445025</c:v>
                </c:pt>
                <c:pt idx="8">
                  <c:v>0.34615053524890094</c:v>
                </c:pt>
                <c:pt idx="9">
                  <c:v>0.26922580287335163</c:v>
                </c:pt>
                <c:pt idx="10">
                  <c:v>0.19230107049780235</c:v>
                </c:pt>
                <c:pt idx="11">
                  <c:v>0.11537633812225302</c:v>
                </c:pt>
                <c:pt idx="12">
                  <c:v>3.8451605746703713E-2</c:v>
                </c:pt>
                <c:pt idx="13">
                  <c:v>-3.8473126628845597E-2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E0-4D38-86FD-B7AA959F9B71}"/>
            </c:ext>
          </c:extLst>
        </c:ser>
        <c:ser>
          <c:idx val="3"/>
          <c:order val="3"/>
          <c:tx>
            <c:v>Enriching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baseDesign!$T$10:$T$67</c:f>
              <c:numCache>
                <c:formatCode>General</c:formatCode>
                <c:ptCount val="58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0.21999999999999997</c:v>
                </c:pt>
                <c:pt idx="12">
                  <c:v>0.23999999999999996</c:v>
                </c:pt>
                <c:pt idx="13">
                  <c:v>0.25999999999999995</c:v>
                </c:pt>
                <c:pt idx="14">
                  <c:v>0.27999999999999997</c:v>
                </c:pt>
                <c:pt idx="15">
                  <c:v>0.3</c:v>
                </c:pt>
                <c:pt idx="16">
                  <c:v>0.32</c:v>
                </c:pt>
                <c:pt idx="17">
                  <c:v>0.34</c:v>
                </c:pt>
                <c:pt idx="18">
                  <c:v>0.36000000000000004</c:v>
                </c:pt>
                <c:pt idx="19">
                  <c:v>0.38000000000000006</c:v>
                </c:pt>
                <c:pt idx="20">
                  <c:v>0.40000000000000008</c:v>
                </c:pt>
                <c:pt idx="21">
                  <c:v>0.4200000000000001</c:v>
                </c:pt>
                <c:pt idx="22">
                  <c:v>0.44000000000000011</c:v>
                </c:pt>
                <c:pt idx="23">
                  <c:v>0.46000000000000013</c:v>
                </c:pt>
                <c:pt idx="24">
                  <c:v>0.48000000000000015</c:v>
                </c:pt>
                <c:pt idx="25">
                  <c:v>0.50000000000000011</c:v>
                </c:pt>
                <c:pt idx="26">
                  <c:v>0.52000000000000013</c:v>
                </c:pt>
                <c:pt idx="27">
                  <c:v>0.54000000000000015</c:v>
                </c:pt>
                <c:pt idx="28">
                  <c:v>0.56000000000000016</c:v>
                </c:pt>
                <c:pt idx="29">
                  <c:v>0.58000000000000018</c:v>
                </c:pt>
                <c:pt idx="30">
                  <c:v>0.6000000000000002</c:v>
                </c:pt>
                <c:pt idx="31">
                  <c:v>0.62000000000000022</c:v>
                </c:pt>
                <c:pt idx="32">
                  <c:v>0.64000000000000024</c:v>
                </c:pt>
                <c:pt idx="33">
                  <c:v>0.66000000000000025</c:v>
                </c:pt>
                <c:pt idx="34">
                  <c:v>0.68000000000000027</c:v>
                </c:pt>
                <c:pt idx="35">
                  <c:v>0.70000000000000029</c:v>
                </c:pt>
                <c:pt idx="36">
                  <c:v>0.72000000000000031</c:v>
                </c:pt>
                <c:pt idx="37">
                  <c:v>0.74000000000000032</c:v>
                </c:pt>
                <c:pt idx="38">
                  <c:v>0.76000000000000034</c:v>
                </c:pt>
                <c:pt idx="39">
                  <c:v>0.78000000000000036</c:v>
                </c:pt>
                <c:pt idx="40">
                  <c:v>0.80000000000000038</c:v>
                </c:pt>
                <c:pt idx="41">
                  <c:v>0.8200000000000004</c:v>
                </c:pt>
                <c:pt idx="42">
                  <c:v>0.84000000000000041</c:v>
                </c:pt>
                <c:pt idx="43">
                  <c:v>0.86000000000000043</c:v>
                </c:pt>
                <c:pt idx="44">
                  <c:v>0.88000000000000045</c:v>
                </c:pt>
                <c:pt idx="45">
                  <c:v>0.90000000000000047</c:v>
                </c:pt>
                <c:pt idx="46">
                  <c:v>0.92000000000000048</c:v>
                </c:pt>
                <c:pt idx="47">
                  <c:v>0.9400000000000005</c:v>
                </c:pt>
                <c:pt idx="48">
                  <c:v>0.96000000000000052</c:v>
                </c:pt>
                <c:pt idx="49">
                  <c:v>0.98000000000000054</c:v>
                </c:pt>
              </c:numCache>
            </c:numRef>
          </c:xVal>
          <c:yVal>
            <c:numRef>
              <c:f>baseDesign!$U$10:$U$67</c:f>
              <c:numCache>
                <c:formatCode>General</c:formatCode>
                <c:ptCount val="58"/>
                <c:pt idx="0">
                  <c:v>0.78118479733183344</c:v>
                </c:pt>
                <c:pt idx="1">
                  <c:v>0.7847388015985316</c:v>
                </c:pt>
                <c:pt idx="2">
                  <c:v>0.78829280586522987</c:v>
                </c:pt>
                <c:pt idx="3">
                  <c:v>0.79184681013192815</c:v>
                </c:pt>
                <c:pt idx="4">
                  <c:v>0.79540081439862631</c:v>
                </c:pt>
                <c:pt idx="5">
                  <c:v>0.79895481866532458</c:v>
                </c:pt>
                <c:pt idx="6">
                  <c:v>0.80250882293202286</c:v>
                </c:pt>
                <c:pt idx="7">
                  <c:v>0.80606282719872113</c:v>
                </c:pt>
                <c:pt idx="8">
                  <c:v>0.8096168314654193</c:v>
                </c:pt>
                <c:pt idx="9">
                  <c:v>0.81317083573211757</c:v>
                </c:pt>
                <c:pt idx="10">
                  <c:v>0.81672483999881584</c:v>
                </c:pt>
                <c:pt idx="11">
                  <c:v>0.82027884426551412</c:v>
                </c:pt>
                <c:pt idx="12">
                  <c:v>0.82383284853221228</c:v>
                </c:pt>
                <c:pt idx="13">
                  <c:v>0.82738685279891055</c:v>
                </c:pt>
                <c:pt idx="14">
                  <c:v>0.83094085706560883</c:v>
                </c:pt>
                <c:pt idx="15">
                  <c:v>0.83449486133230699</c:v>
                </c:pt>
                <c:pt idx="16">
                  <c:v>0.83804886559900527</c:v>
                </c:pt>
                <c:pt idx="17">
                  <c:v>0.84160286986570354</c:v>
                </c:pt>
                <c:pt idx="18">
                  <c:v>0.84515687413240181</c:v>
                </c:pt>
                <c:pt idx="19">
                  <c:v>0.84871087839909998</c:v>
                </c:pt>
                <c:pt idx="20">
                  <c:v>0.85226488266579825</c:v>
                </c:pt>
                <c:pt idx="21">
                  <c:v>0.85581888693249653</c:v>
                </c:pt>
                <c:pt idx="22">
                  <c:v>0.8593728911991948</c:v>
                </c:pt>
                <c:pt idx="23">
                  <c:v>0.86292689546589296</c:v>
                </c:pt>
                <c:pt idx="24">
                  <c:v>0.86648089973259124</c:v>
                </c:pt>
                <c:pt idx="25">
                  <c:v>0.87003490399928951</c:v>
                </c:pt>
                <c:pt idx="26">
                  <c:v>0.87358890826598778</c:v>
                </c:pt>
                <c:pt idx="27">
                  <c:v>0.87714291253268595</c:v>
                </c:pt>
                <c:pt idx="28">
                  <c:v>0.88069691679938422</c:v>
                </c:pt>
                <c:pt idx="29">
                  <c:v>0.8842509210660825</c:v>
                </c:pt>
                <c:pt idx="30">
                  <c:v>0.88780492533278077</c:v>
                </c:pt>
                <c:pt idx="31">
                  <c:v>0.89135892959947893</c:v>
                </c:pt>
                <c:pt idx="32">
                  <c:v>0.89491293386617721</c:v>
                </c:pt>
                <c:pt idx="33">
                  <c:v>0.89846693813287548</c:v>
                </c:pt>
                <c:pt idx="34">
                  <c:v>0.90202094239957376</c:v>
                </c:pt>
                <c:pt idx="35">
                  <c:v>0.90557494666627192</c:v>
                </c:pt>
                <c:pt idx="36">
                  <c:v>0.90912895093297019</c:v>
                </c:pt>
                <c:pt idx="37">
                  <c:v>0.91268295519966847</c:v>
                </c:pt>
                <c:pt idx="38">
                  <c:v>0.91623695946636674</c:v>
                </c:pt>
                <c:pt idx="39">
                  <c:v>0.9197909637330649</c:v>
                </c:pt>
                <c:pt idx="40">
                  <c:v>0.92334496799976318</c:v>
                </c:pt>
                <c:pt idx="41">
                  <c:v>0.92689897226646145</c:v>
                </c:pt>
                <c:pt idx="42">
                  <c:v>0.93045297653315973</c:v>
                </c:pt>
                <c:pt idx="43">
                  <c:v>0.93400698079985789</c:v>
                </c:pt>
                <c:pt idx="44">
                  <c:v>0.93756098506655616</c:v>
                </c:pt>
                <c:pt idx="45">
                  <c:v>0.94111498933325444</c:v>
                </c:pt>
                <c:pt idx="46">
                  <c:v>0.94466899359995271</c:v>
                </c:pt>
                <c:pt idx="47">
                  <c:v>0.94822299786665099</c:v>
                </c:pt>
                <c:pt idx="48">
                  <c:v>0.95177700213334915</c:v>
                </c:pt>
                <c:pt idx="49">
                  <c:v>0.95533100640004742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E0-4D38-86FD-B7AA959F9B71}"/>
            </c:ext>
          </c:extLst>
        </c:ser>
        <c:ser>
          <c:idx val="4"/>
          <c:order val="4"/>
          <c:tx>
            <c:v>stripping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baseDesign!$V$10:$V$57</c:f>
              <c:numCache>
                <c:formatCode>General</c:formatCode>
                <c:ptCount val="48"/>
                <c:pt idx="0">
                  <c:v>0.1</c:v>
                </c:pt>
                <c:pt idx="1">
                  <c:v>0.12000000000000001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0.19999999999999998</c:v>
                </c:pt>
                <c:pt idx="6">
                  <c:v>0.21999999999999997</c:v>
                </c:pt>
                <c:pt idx="7">
                  <c:v>0.23999999999999996</c:v>
                </c:pt>
                <c:pt idx="8">
                  <c:v>0.25999999999999995</c:v>
                </c:pt>
                <c:pt idx="9">
                  <c:v>0.27999999999999997</c:v>
                </c:pt>
                <c:pt idx="10">
                  <c:v>0.3</c:v>
                </c:pt>
                <c:pt idx="11">
                  <c:v>0.32</c:v>
                </c:pt>
                <c:pt idx="12">
                  <c:v>0.34</c:v>
                </c:pt>
                <c:pt idx="13">
                  <c:v>0.36000000000000004</c:v>
                </c:pt>
                <c:pt idx="14">
                  <c:v>0.38000000000000006</c:v>
                </c:pt>
                <c:pt idx="15">
                  <c:v>0.40000000000000008</c:v>
                </c:pt>
                <c:pt idx="16">
                  <c:v>0.4200000000000001</c:v>
                </c:pt>
                <c:pt idx="17">
                  <c:v>0.44000000000000011</c:v>
                </c:pt>
                <c:pt idx="18">
                  <c:v>0.46000000000000013</c:v>
                </c:pt>
                <c:pt idx="19">
                  <c:v>0.48000000000000015</c:v>
                </c:pt>
                <c:pt idx="20">
                  <c:v>0.50000000000000011</c:v>
                </c:pt>
                <c:pt idx="21">
                  <c:v>0.52000000000000013</c:v>
                </c:pt>
                <c:pt idx="22">
                  <c:v>0.54000000000000015</c:v>
                </c:pt>
                <c:pt idx="23">
                  <c:v>0.56000000000000016</c:v>
                </c:pt>
                <c:pt idx="24">
                  <c:v>0.58000000000000018</c:v>
                </c:pt>
                <c:pt idx="25">
                  <c:v>0.6000000000000002</c:v>
                </c:pt>
              </c:numCache>
            </c:numRef>
          </c:xVal>
          <c:yVal>
            <c:numRef>
              <c:f>baseDesign!$W$10:$W$57</c:f>
              <c:numCache>
                <c:formatCode>General</c:formatCode>
                <c:ptCount val="48"/>
                <c:pt idx="0">
                  <c:v>9.6906801220681647E-3</c:v>
                </c:pt>
                <c:pt idx="1">
                  <c:v>6.4488685806733004E-2</c:v>
                </c:pt>
                <c:pt idx="2">
                  <c:v>0.11928669149139784</c:v>
                </c:pt>
                <c:pt idx="3">
                  <c:v>0.17408469717606265</c:v>
                </c:pt>
                <c:pt idx="4">
                  <c:v>0.22888270286072745</c:v>
                </c:pt>
                <c:pt idx="5">
                  <c:v>0.28368070854539224</c:v>
                </c:pt>
                <c:pt idx="6">
                  <c:v>0.33847871423005704</c:v>
                </c:pt>
                <c:pt idx="7">
                  <c:v>0.39327671991472185</c:v>
                </c:pt>
                <c:pt idx="8">
                  <c:v>0.44807472559938666</c:v>
                </c:pt>
                <c:pt idx="9">
                  <c:v>0.50287273128405152</c:v>
                </c:pt>
                <c:pt idx="10">
                  <c:v>0.55767073696871639</c:v>
                </c:pt>
                <c:pt idx="11">
                  <c:v>0.61246874265338125</c:v>
                </c:pt>
                <c:pt idx="12">
                  <c:v>0.66726674833804611</c:v>
                </c:pt>
                <c:pt idx="13">
                  <c:v>0.72206475402271098</c:v>
                </c:pt>
                <c:pt idx="14">
                  <c:v>0.77686275970737595</c:v>
                </c:pt>
                <c:pt idx="15">
                  <c:v>0.83166076539204081</c:v>
                </c:pt>
                <c:pt idx="16">
                  <c:v>0.88645877107670568</c:v>
                </c:pt>
                <c:pt idx="17">
                  <c:v>0.94125677676137054</c:v>
                </c:pt>
                <c:pt idx="18">
                  <c:v>0.9960547824460354</c:v>
                </c:pt>
                <c:pt idx="19">
                  <c:v>1.0508527881307004</c:v>
                </c:pt>
                <c:pt idx="20">
                  <c:v>1.105650793815365</c:v>
                </c:pt>
                <c:pt idx="21">
                  <c:v>1.1604487995000299</c:v>
                </c:pt>
                <c:pt idx="22">
                  <c:v>1.2152468051846947</c:v>
                </c:pt>
                <c:pt idx="23">
                  <c:v>1.2700448108693596</c:v>
                </c:pt>
                <c:pt idx="24">
                  <c:v>1.3248428165540245</c:v>
                </c:pt>
                <c:pt idx="25">
                  <c:v>1.3796408222386893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E0-4D38-86FD-B7AA959F9B71}"/>
            </c:ext>
          </c:extLst>
        </c:ser>
        <c:ser>
          <c:idx val="5"/>
          <c:order val="5"/>
          <c:tx>
            <c:v>Stages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baseDesign!$X$10:$X$22</c:f>
              <c:numCache>
                <c:formatCode>General</c:formatCode>
                <c:ptCount val="13"/>
                <c:pt idx="1">
                  <c:v>0.95</c:v>
                </c:pt>
                <c:pt idx="2">
                  <c:v>0.62969738711326584</c:v>
                </c:pt>
                <c:pt idx="3">
                  <c:v>0.62969738711326584</c:v>
                </c:pt>
                <c:pt idx="4">
                  <c:v>0.44537011668254139</c:v>
                </c:pt>
                <c:pt idx="5">
                  <c:v>0.44537011668254139</c:v>
                </c:pt>
                <c:pt idx="6">
                  <c:v>0.3801701978432302</c:v>
                </c:pt>
                <c:pt idx="7">
                  <c:v>0.3801701978432302</c:v>
                </c:pt>
                <c:pt idx="8">
                  <c:v>0.22101292953431992</c:v>
                </c:pt>
                <c:pt idx="9">
                  <c:v>0.22101292953431992</c:v>
                </c:pt>
                <c:pt idx="10">
                  <c:v>4.2968265773717165E-2</c:v>
                </c:pt>
              </c:numCache>
            </c:numRef>
          </c:xVal>
          <c:yVal>
            <c:numRef>
              <c:f>baseDesign!$Y$10:$Y$22</c:f>
              <c:numCache>
                <c:formatCode>General</c:formatCode>
                <c:ptCount val="13"/>
                <c:pt idx="1">
                  <c:v>0.95</c:v>
                </c:pt>
                <c:pt idx="2">
                  <c:v>0.95</c:v>
                </c:pt>
                <c:pt idx="3">
                  <c:v>0.89308215735829755</c:v>
                </c:pt>
                <c:pt idx="4">
                  <c:v>0.89308215735829755</c:v>
                </c:pt>
                <c:pt idx="5">
                  <c:v>0.8603271620793157</c:v>
                </c:pt>
                <c:pt idx="6">
                  <c:v>0.8603271620793157</c:v>
                </c:pt>
                <c:pt idx="7">
                  <c:v>0.77732908482641805</c:v>
                </c:pt>
                <c:pt idx="8">
                  <c:v>0.77732908482641805</c:v>
                </c:pt>
                <c:pt idx="9">
                  <c:v>0.34125404014904853</c:v>
                </c:pt>
                <c:pt idx="10">
                  <c:v>0.34125404014904853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98-478B-A867-8F870179F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0459360"/>
        <c:axId val="850460480"/>
      </c:scatterChart>
      <c:valAx>
        <c:axId val="850459360"/>
        <c:scaling>
          <c:orientation val="minMax"/>
          <c:max val="1.100000000000000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2000"/>
                  <a:t>xa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460480"/>
        <c:crosses val="autoZero"/>
        <c:crossBetween val="midCat"/>
      </c:valAx>
      <c:valAx>
        <c:axId val="850460480"/>
        <c:scaling>
          <c:orientation val="minMax"/>
          <c:max val="1.1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2000"/>
                  <a:t>ya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0459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ayout>
        <c:manualLayout>
          <c:xMode val="edge"/>
          <c:yMode val="edge"/>
          <c:x val="0.87602061260667019"/>
          <c:y val="0.17033499953463313"/>
          <c:w val="0.10827258111060725"/>
          <c:h val="0.633140088077383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29602046886543E-2"/>
          <c:y val="0.134089336061152"/>
          <c:w val="0.89451903620955475"/>
          <c:h val="0.71297037059655766"/>
        </c:manualLayout>
      </c:layout>
      <c:scatterChart>
        <c:scatterStyle val="lineMarker"/>
        <c:varyColors val="0"/>
        <c:ser>
          <c:idx val="0"/>
          <c:order val="0"/>
          <c:tx>
            <c:strRef>
              <c:f>optimization!$C$11</c:f>
              <c:strCache>
                <c:ptCount val="1"/>
                <c:pt idx="0">
                  <c:v>1.2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optimization!$B$11:$B$20000</c:f>
              <c:numCache>
                <c:formatCode>General</c:formatCode>
                <c:ptCount val="19990"/>
                <c:pt idx="0">
                  <c:v>341.48</c:v>
                </c:pt>
                <c:pt idx="1">
                  <c:v>343.25</c:v>
                </c:pt>
                <c:pt idx="2">
                  <c:v>345.02</c:v>
                </c:pt>
                <c:pt idx="3">
                  <c:v>346.78999999999996</c:v>
                </c:pt>
                <c:pt idx="4">
                  <c:v>348.55999999999995</c:v>
                </c:pt>
                <c:pt idx="5">
                  <c:v>350.32999999999993</c:v>
                </c:pt>
                <c:pt idx="6">
                  <c:v>352.09999999999991</c:v>
                </c:pt>
                <c:pt idx="7">
                  <c:v>353.86999999999989</c:v>
                </c:pt>
                <c:pt idx="8">
                  <c:v>355.63999999999987</c:v>
                </c:pt>
                <c:pt idx="9">
                  <c:v>357.40999999999985</c:v>
                </c:pt>
                <c:pt idx="10">
                  <c:v>359.17999999999984</c:v>
                </c:pt>
                <c:pt idx="11">
                  <c:v>360.94999999999982</c:v>
                </c:pt>
                <c:pt idx="12">
                  <c:v>362.7199999999998</c:v>
                </c:pt>
                <c:pt idx="13">
                  <c:v>364.48999999999978</c:v>
                </c:pt>
                <c:pt idx="14">
                  <c:v>366.25999999999976</c:v>
                </c:pt>
                <c:pt idx="15">
                  <c:v>368.02999999999975</c:v>
                </c:pt>
                <c:pt idx="16">
                  <c:v>369.79999999999973</c:v>
                </c:pt>
                <c:pt idx="17">
                  <c:v>371.56999999999971</c:v>
                </c:pt>
                <c:pt idx="18">
                  <c:v>373.33999999999969</c:v>
                </c:pt>
                <c:pt idx="19">
                  <c:v>375.10999999999967</c:v>
                </c:pt>
                <c:pt idx="20">
                  <c:v>376.87999999999965</c:v>
                </c:pt>
                <c:pt idx="21">
                  <c:v>341.48</c:v>
                </c:pt>
                <c:pt idx="22">
                  <c:v>343.25</c:v>
                </c:pt>
                <c:pt idx="23">
                  <c:v>345.02</c:v>
                </c:pt>
                <c:pt idx="24">
                  <c:v>346.78999999999996</c:v>
                </c:pt>
                <c:pt idx="25">
                  <c:v>348.55999999999995</c:v>
                </c:pt>
                <c:pt idx="26">
                  <c:v>350.32999999999993</c:v>
                </c:pt>
                <c:pt idx="27">
                  <c:v>352.09999999999991</c:v>
                </c:pt>
                <c:pt idx="28">
                  <c:v>353.86999999999989</c:v>
                </c:pt>
                <c:pt idx="29">
                  <c:v>355.63999999999987</c:v>
                </c:pt>
                <c:pt idx="30">
                  <c:v>357.40999999999985</c:v>
                </c:pt>
                <c:pt idx="31">
                  <c:v>359.17999999999984</c:v>
                </c:pt>
                <c:pt idx="32">
                  <c:v>360.94999999999982</c:v>
                </c:pt>
                <c:pt idx="33">
                  <c:v>362.7199999999998</c:v>
                </c:pt>
                <c:pt idx="34">
                  <c:v>364.48999999999978</c:v>
                </c:pt>
                <c:pt idx="35">
                  <c:v>366.25999999999976</c:v>
                </c:pt>
                <c:pt idx="36">
                  <c:v>368.02999999999975</c:v>
                </c:pt>
                <c:pt idx="37">
                  <c:v>369.79999999999973</c:v>
                </c:pt>
                <c:pt idx="38">
                  <c:v>371.56999999999971</c:v>
                </c:pt>
                <c:pt idx="39">
                  <c:v>373.33999999999969</c:v>
                </c:pt>
                <c:pt idx="40">
                  <c:v>375.10999999999967</c:v>
                </c:pt>
                <c:pt idx="41">
                  <c:v>376.87999999999965</c:v>
                </c:pt>
                <c:pt idx="42">
                  <c:v>341.48</c:v>
                </c:pt>
                <c:pt idx="43">
                  <c:v>343.25</c:v>
                </c:pt>
                <c:pt idx="44">
                  <c:v>345.02</c:v>
                </c:pt>
                <c:pt idx="45">
                  <c:v>346.78999999999996</c:v>
                </c:pt>
                <c:pt idx="46">
                  <c:v>348.55999999999995</c:v>
                </c:pt>
                <c:pt idx="47">
                  <c:v>350.32999999999993</c:v>
                </c:pt>
                <c:pt idx="48">
                  <c:v>352.09999999999991</c:v>
                </c:pt>
                <c:pt idx="49">
                  <c:v>353.86999999999989</c:v>
                </c:pt>
                <c:pt idx="50">
                  <c:v>355.63999999999987</c:v>
                </c:pt>
                <c:pt idx="51">
                  <c:v>357.40999999999985</c:v>
                </c:pt>
                <c:pt idx="52">
                  <c:v>359.17999999999984</c:v>
                </c:pt>
                <c:pt idx="53">
                  <c:v>360.94999999999982</c:v>
                </c:pt>
                <c:pt idx="54">
                  <c:v>362.7199999999998</c:v>
                </c:pt>
                <c:pt idx="55">
                  <c:v>364.48999999999978</c:v>
                </c:pt>
                <c:pt idx="56">
                  <c:v>366.25999999999976</c:v>
                </c:pt>
                <c:pt idx="57">
                  <c:v>368.02999999999975</c:v>
                </c:pt>
                <c:pt idx="58">
                  <c:v>369.79999999999973</c:v>
                </c:pt>
                <c:pt idx="59">
                  <c:v>371.56999999999971</c:v>
                </c:pt>
                <c:pt idx="60">
                  <c:v>373.33999999999969</c:v>
                </c:pt>
                <c:pt idx="61">
                  <c:v>375.10999999999967</c:v>
                </c:pt>
                <c:pt idx="62">
                  <c:v>376.87999999999965</c:v>
                </c:pt>
                <c:pt idx="63">
                  <c:v>341.48</c:v>
                </c:pt>
                <c:pt idx="64">
                  <c:v>343.25</c:v>
                </c:pt>
                <c:pt idx="65">
                  <c:v>345.02</c:v>
                </c:pt>
                <c:pt idx="66">
                  <c:v>346.78999999999996</c:v>
                </c:pt>
                <c:pt idx="67">
                  <c:v>348.55999999999995</c:v>
                </c:pt>
                <c:pt idx="68">
                  <c:v>350.32999999999993</c:v>
                </c:pt>
                <c:pt idx="69">
                  <c:v>352.09999999999991</c:v>
                </c:pt>
                <c:pt idx="70">
                  <c:v>353.86999999999989</c:v>
                </c:pt>
                <c:pt idx="71">
                  <c:v>355.63999999999987</c:v>
                </c:pt>
                <c:pt idx="72">
                  <c:v>357.40999999999985</c:v>
                </c:pt>
                <c:pt idx="73">
                  <c:v>359.17999999999984</c:v>
                </c:pt>
                <c:pt idx="74">
                  <c:v>360.94999999999982</c:v>
                </c:pt>
                <c:pt idx="75">
                  <c:v>362.7199999999998</c:v>
                </c:pt>
                <c:pt idx="76">
                  <c:v>364.48999999999978</c:v>
                </c:pt>
                <c:pt idx="77">
                  <c:v>366.25999999999976</c:v>
                </c:pt>
                <c:pt idx="78">
                  <c:v>368.02999999999975</c:v>
                </c:pt>
                <c:pt idx="79">
                  <c:v>369.79999999999973</c:v>
                </c:pt>
                <c:pt idx="80">
                  <c:v>371.56999999999971</c:v>
                </c:pt>
                <c:pt idx="81">
                  <c:v>373.33999999999969</c:v>
                </c:pt>
                <c:pt idx="82">
                  <c:v>375.10999999999967</c:v>
                </c:pt>
                <c:pt idx="83">
                  <c:v>376.87999999999965</c:v>
                </c:pt>
                <c:pt idx="84">
                  <c:v>341.48</c:v>
                </c:pt>
                <c:pt idx="85">
                  <c:v>343.25</c:v>
                </c:pt>
                <c:pt idx="86">
                  <c:v>345.02</c:v>
                </c:pt>
                <c:pt idx="87">
                  <c:v>346.78999999999996</c:v>
                </c:pt>
                <c:pt idx="88">
                  <c:v>348.55999999999995</c:v>
                </c:pt>
                <c:pt idx="89">
                  <c:v>350.32999999999993</c:v>
                </c:pt>
                <c:pt idx="90">
                  <c:v>352.09999999999991</c:v>
                </c:pt>
                <c:pt idx="91">
                  <c:v>353.86999999999989</c:v>
                </c:pt>
                <c:pt idx="92">
                  <c:v>355.63999999999987</c:v>
                </c:pt>
                <c:pt idx="93">
                  <c:v>357.40999999999985</c:v>
                </c:pt>
                <c:pt idx="94">
                  <c:v>359.17999999999984</c:v>
                </c:pt>
                <c:pt idx="95">
                  <c:v>360.94999999999982</c:v>
                </c:pt>
                <c:pt idx="96">
                  <c:v>362.7199999999998</c:v>
                </c:pt>
                <c:pt idx="97">
                  <c:v>364.48999999999978</c:v>
                </c:pt>
                <c:pt idx="98">
                  <c:v>366.25999999999976</c:v>
                </c:pt>
                <c:pt idx="99">
                  <c:v>368.02999999999975</c:v>
                </c:pt>
                <c:pt idx="100">
                  <c:v>369.79999999999973</c:v>
                </c:pt>
                <c:pt idx="101">
                  <c:v>371.56999999999971</c:v>
                </c:pt>
                <c:pt idx="102">
                  <c:v>373.33999999999969</c:v>
                </c:pt>
                <c:pt idx="103">
                  <c:v>375.10999999999967</c:v>
                </c:pt>
                <c:pt idx="104">
                  <c:v>376.87999999999965</c:v>
                </c:pt>
                <c:pt idx="105">
                  <c:v>341.48</c:v>
                </c:pt>
                <c:pt idx="106">
                  <c:v>343.25</c:v>
                </c:pt>
                <c:pt idx="107">
                  <c:v>345.02</c:v>
                </c:pt>
                <c:pt idx="108">
                  <c:v>346.78999999999996</c:v>
                </c:pt>
                <c:pt idx="109">
                  <c:v>348.55999999999995</c:v>
                </c:pt>
                <c:pt idx="110">
                  <c:v>350.32999999999993</c:v>
                </c:pt>
                <c:pt idx="111">
                  <c:v>352.09999999999991</c:v>
                </c:pt>
                <c:pt idx="112">
                  <c:v>353.86999999999989</c:v>
                </c:pt>
                <c:pt idx="113">
                  <c:v>355.63999999999987</c:v>
                </c:pt>
                <c:pt idx="114">
                  <c:v>357.40999999999985</c:v>
                </c:pt>
                <c:pt idx="115">
                  <c:v>359.17999999999984</c:v>
                </c:pt>
                <c:pt idx="116">
                  <c:v>360.94999999999982</c:v>
                </c:pt>
                <c:pt idx="117">
                  <c:v>362.7199999999998</c:v>
                </c:pt>
                <c:pt idx="118">
                  <c:v>364.48999999999978</c:v>
                </c:pt>
                <c:pt idx="119">
                  <c:v>366.25999999999976</c:v>
                </c:pt>
                <c:pt idx="120">
                  <c:v>368.02999999999975</c:v>
                </c:pt>
                <c:pt idx="121">
                  <c:v>369.79999999999973</c:v>
                </c:pt>
                <c:pt idx="122">
                  <c:v>371.56999999999971</c:v>
                </c:pt>
                <c:pt idx="123">
                  <c:v>373.33999999999969</c:v>
                </c:pt>
                <c:pt idx="124">
                  <c:v>375.10999999999967</c:v>
                </c:pt>
                <c:pt idx="125">
                  <c:v>376.87999999999965</c:v>
                </c:pt>
                <c:pt idx="126">
                  <c:v>341.48</c:v>
                </c:pt>
                <c:pt idx="127">
                  <c:v>343.25</c:v>
                </c:pt>
                <c:pt idx="128">
                  <c:v>345.02</c:v>
                </c:pt>
                <c:pt idx="129">
                  <c:v>346.78999999999996</c:v>
                </c:pt>
                <c:pt idx="130">
                  <c:v>348.55999999999995</c:v>
                </c:pt>
                <c:pt idx="131">
                  <c:v>350.32999999999993</c:v>
                </c:pt>
                <c:pt idx="132">
                  <c:v>352.09999999999991</c:v>
                </c:pt>
                <c:pt idx="133">
                  <c:v>353.86999999999989</c:v>
                </c:pt>
                <c:pt idx="134">
                  <c:v>355.63999999999987</c:v>
                </c:pt>
                <c:pt idx="135">
                  <c:v>357.40999999999985</c:v>
                </c:pt>
                <c:pt idx="136">
                  <c:v>359.17999999999984</c:v>
                </c:pt>
                <c:pt idx="137">
                  <c:v>360.94999999999982</c:v>
                </c:pt>
                <c:pt idx="138">
                  <c:v>362.7199999999998</c:v>
                </c:pt>
                <c:pt idx="139">
                  <c:v>364.48999999999978</c:v>
                </c:pt>
                <c:pt idx="140">
                  <c:v>366.25999999999976</c:v>
                </c:pt>
                <c:pt idx="141">
                  <c:v>368.02999999999975</c:v>
                </c:pt>
                <c:pt idx="142">
                  <c:v>369.79999999999973</c:v>
                </c:pt>
                <c:pt idx="143">
                  <c:v>371.56999999999971</c:v>
                </c:pt>
                <c:pt idx="144">
                  <c:v>373.33999999999969</c:v>
                </c:pt>
                <c:pt idx="145">
                  <c:v>375.10999999999967</c:v>
                </c:pt>
                <c:pt idx="146">
                  <c:v>376.87999999999965</c:v>
                </c:pt>
                <c:pt idx="147">
                  <c:v>341.48</c:v>
                </c:pt>
                <c:pt idx="148">
                  <c:v>343.25</c:v>
                </c:pt>
                <c:pt idx="149">
                  <c:v>345.02</c:v>
                </c:pt>
                <c:pt idx="150">
                  <c:v>346.78999999999996</c:v>
                </c:pt>
                <c:pt idx="151">
                  <c:v>348.55999999999995</c:v>
                </c:pt>
                <c:pt idx="152">
                  <c:v>350.32999999999993</c:v>
                </c:pt>
                <c:pt idx="153">
                  <c:v>352.09999999999991</c:v>
                </c:pt>
                <c:pt idx="154">
                  <c:v>353.86999999999989</c:v>
                </c:pt>
                <c:pt idx="155">
                  <c:v>355.63999999999987</c:v>
                </c:pt>
                <c:pt idx="156">
                  <c:v>357.40999999999985</c:v>
                </c:pt>
                <c:pt idx="157">
                  <c:v>359.17999999999984</c:v>
                </c:pt>
                <c:pt idx="158">
                  <c:v>360.94999999999982</c:v>
                </c:pt>
                <c:pt idx="159">
                  <c:v>362.7199999999998</c:v>
                </c:pt>
                <c:pt idx="160">
                  <c:v>364.48999999999978</c:v>
                </c:pt>
                <c:pt idx="161">
                  <c:v>366.25999999999976</c:v>
                </c:pt>
                <c:pt idx="162">
                  <c:v>368.02999999999975</c:v>
                </c:pt>
                <c:pt idx="163">
                  <c:v>369.79999999999973</c:v>
                </c:pt>
                <c:pt idx="164">
                  <c:v>371.56999999999971</c:v>
                </c:pt>
                <c:pt idx="165">
                  <c:v>373.33999999999969</c:v>
                </c:pt>
                <c:pt idx="166">
                  <c:v>375.10999999999967</c:v>
                </c:pt>
                <c:pt idx="167">
                  <c:v>376.87999999999965</c:v>
                </c:pt>
                <c:pt idx="168">
                  <c:v>341.48</c:v>
                </c:pt>
                <c:pt idx="169">
                  <c:v>343.25</c:v>
                </c:pt>
                <c:pt idx="170">
                  <c:v>345.02</c:v>
                </c:pt>
                <c:pt idx="171">
                  <c:v>346.78999999999996</c:v>
                </c:pt>
                <c:pt idx="172">
                  <c:v>348.55999999999995</c:v>
                </c:pt>
                <c:pt idx="173">
                  <c:v>350.32999999999993</c:v>
                </c:pt>
                <c:pt idx="174">
                  <c:v>352.09999999999991</c:v>
                </c:pt>
                <c:pt idx="175">
                  <c:v>353.86999999999989</c:v>
                </c:pt>
                <c:pt idx="176">
                  <c:v>355.63999999999987</c:v>
                </c:pt>
                <c:pt idx="177">
                  <c:v>357.40999999999985</c:v>
                </c:pt>
                <c:pt idx="178">
                  <c:v>359.17999999999984</c:v>
                </c:pt>
                <c:pt idx="179">
                  <c:v>360.94999999999982</c:v>
                </c:pt>
                <c:pt idx="180">
                  <c:v>362.7199999999998</c:v>
                </c:pt>
                <c:pt idx="181">
                  <c:v>364.48999999999978</c:v>
                </c:pt>
                <c:pt idx="182">
                  <c:v>366.25999999999976</c:v>
                </c:pt>
                <c:pt idx="183">
                  <c:v>368.02999999999975</c:v>
                </c:pt>
                <c:pt idx="184">
                  <c:v>369.79999999999973</c:v>
                </c:pt>
                <c:pt idx="185">
                  <c:v>371.56999999999971</c:v>
                </c:pt>
                <c:pt idx="186">
                  <c:v>373.33999999999969</c:v>
                </c:pt>
                <c:pt idx="187">
                  <c:v>375.10999999999967</c:v>
                </c:pt>
                <c:pt idx="188">
                  <c:v>376.87999999999965</c:v>
                </c:pt>
                <c:pt idx="189">
                  <c:v>341.48</c:v>
                </c:pt>
                <c:pt idx="190">
                  <c:v>343.25</c:v>
                </c:pt>
                <c:pt idx="191">
                  <c:v>345.02</c:v>
                </c:pt>
                <c:pt idx="192">
                  <c:v>346.78999999999996</c:v>
                </c:pt>
                <c:pt idx="193">
                  <c:v>348.55999999999995</c:v>
                </c:pt>
                <c:pt idx="194">
                  <c:v>350.32999999999993</c:v>
                </c:pt>
                <c:pt idx="195">
                  <c:v>352.09999999999991</c:v>
                </c:pt>
                <c:pt idx="196">
                  <c:v>353.86999999999989</c:v>
                </c:pt>
                <c:pt idx="197">
                  <c:v>355.63999999999987</c:v>
                </c:pt>
                <c:pt idx="198">
                  <c:v>357.40999999999985</c:v>
                </c:pt>
                <c:pt idx="199">
                  <c:v>359.17999999999984</c:v>
                </c:pt>
                <c:pt idx="200">
                  <c:v>360.94999999999982</c:v>
                </c:pt>
                <c:pt idx="201">
                  <c:v>362.7199999999998</c:v>
                </c:pt>
                <c:pt idx="202">
                  <c:v>364.48999999999978</c:v>
                </c:pt>
                <c:pt idx="203">
                  <c:v>366.25999999999976</c:v>
                </c:pt>
                <c:pt idx="204">
                  <c:v>368.02999999999975</c:v>
                </c:pt>
                <c:pt idx="205">
                  <c:v>369.79999999999973</c:v>
                </c:pt>
                <c:pt idx="206">
                  <c:v>371.56999999999971</c:v>
                </c:pt>
                <c:pt idx="207">
                  <c:v>373.33999999999969</c:v>
                </c:pt>
                <c:pt idx="208">
                  <c:v>375.10999999999967</c:v>
                </c:pt>
                <c:pt idx="209">
                  <c:v>376.87999999999965</c:v>
                </c:pt>
                <c:pt idx="210">
                  <c:v>341.48</c:v>
                </c:pt>
                <c:pt idx="211">
                  <c:v>343.25</c:v>
                </c:pt>
                <c:pt idx="212">
                  <c:v>345.02</c:v>
                </c:pt>
                <c:pt idx="213">
                  <c:v>346.78999999999996</c:v>
                </c:pt>
                <c:pt idx="214">
                  <c:v>348.55999999999995</c:v>
                </c:pt>
                <c:pt idx="215">
                  <c:v>350.32999999999993</c:v>
                </c:pt>
                <c:pt idx="216">
                  <c:v>352.09999999999991</c:v>
                </c:pt>
                <c:pt idx="217">
                  <c:v>353.86999999999989</c:v>
                </c:pt>
                <c:pt idx="218">
                  <c:v>355.63999999999987</c:v>
                </c:pt>
                <c:pt idx="219">
                  <c:v>357.40999999999985</c:v>
                </c:pt>
                <c:pt idx="220">
                  <c:v>359.17999999999984</c:v>
                </c:pt>
                <c:pt idx="221">
                  <c:v>360.94999999999982</c:v>
                </c:pt>
                <c:pt idx="222">
                  <c:v>362.7199999999998</c:v>
                </c:pt>
                <c:pt idx="223">
                  <c:v>364.48999999999978</c:v>
                </c:pt>
                <c:pt idx="224">
                  <c:v>366.25999999999976</c:v>
                </c:pt>
                <c:pt idx="225">
                  <c:v>368.02999999999975</c:v>
                </c:pt>
                <c:pt idx="226">
                  <c:v>369.79999999999973</c:v>
                </c:pt>
                <c:pt idx="227">
                  <c:v>371.56999999999971</c:v>
                </c:pt>
                <c:pt idx="228">
                  <c:v>373.33999999999969</c:v>
                </c:pt>
                <c:pt idx="229">
                  <c:v>375.10999999999967</c:v>
                </c:pt>
                <c:pt idx="230">
                  <c:v>376.87999999999965</c:v>
                </c:pt>
                <c:pt idx="231">
                  <c:v>341.48</c:v>
                </c:pt>
                <c:pt idx="232">
                  <c:v>343.25</c:v>
                </c:pt>
                <c:pt idx="233">
                  <c:v>345.02</c:v>
                </c:pt>
                <c:pt idx="234">
                  <c:v>346.78999999999996</c:v>
                </c:pt>
                <c:pt idx="235">
                  <c:v>348.55999999999995</c:v>
                </c:pt>
                <c:pt idx="236">
                  <c:v>350.32999999999993</c:v>
                </c:pt>
                <c:pt idx="237">
                  <c:v>352.09999999999991</c:v>
                </c:pt>
                <c:pt idx="238">
                  <c:v>353.86999999999989</c:v>
                </c:pt>
                <c:pt idx="239">
                  <c:v>355.63999999999987</c:v>
                </c:pt>
                <c:pt idx="240">
                  <c:v>357.40999999999985</c:v>
                </c:pt>
                <c:pt idx="241">
                  <c:v>359.17999999999984</c:v>
                </c:pt>
                <c:pt idx="242">
                  <c:v>360.94999999999982</c:v>
                </c:pt>
                <c:pt idx="243">
                  <c:v>362.7199999999998</c:v>
                </c:pt>
                <c:pt idx="244">
                  <c:v>364.48999999999978</c:v>
                </c:pt>
                <c:pt idx="245">
                  <c:v>366.25999999999976</c:v>
                </c:pt>
                <c:pt idx="246">
                  <c:v>368.02999999999975</c:v>
                </c:pt>
                <c:pt idx="247">
                  <c:v>369.79999999999973</c:v>
                </c:pt>
                <c:pt idx="248">
                  <c:v>371.56999999999971</c:v>
                </c:pt>
                <c:pt idx="249">
                  <c:v>373.33999999999969</c:v>
                </c:pt>
                <c:pt idx="250">
                  <c:v>375.10999999999967</c:v>
                </c:pt>
                <c:pt idx="251">
                  <c:v>376.87999999999965</c:v>
                </c:pt>
                <c:pt idx="252">
                  <c:v>341.48</c:v>
                </c:pt>
                <c:pt idx="253">
                  <c:v>343.25</c:v>
                </c:pt>
                <c:pt idx="254">
                  <c:v>345.02</c:v>
                </c:pt>
                <c:pt idx="255">
                  <c:v>346.78999999999996</c:v>
                </c:pt>
                <c:pt idx="256">
                  <c:v>348.55999999999995</c:v>
                </c:pt>
                <c:pt idx="257">
                  <c:v>350.32999999999993</c:v>
                </c:pt>
                <c:pt idx="258">
                  <c:v>352.09999999999991</c:v>
                </c:pt>
                <c:pt idx="259">
                  <c:v>353.86999999999989</c:v>
                </c:pt>
                <c:pt idx="260">
                  <c:v>355.63999999999987</c:v>
                </c:pt>
                <c:pt idx="261">
                  <c:v>357.40999999999985</c:v>
                </c:pt>
                <c:pt idx="262">
                  <c:v>359.17999999999984</c:v>
                </c:pt>
                <c:pt idx="263">
                  <c:v>360.94999999999982</c:v>
                </c:pt>
                <c:pt idx="264">
                  <c:v>362.7199999999998</c:v>
                </c:pt>
                <c:pt idx="265">
                  <c:v>364.48999999999978</c:v>
                </c:pt>
                <c:pt idx="266">
                  <c:v>366.25999999999976</c:v>
                </c:pt>
                <c:pt idx="267">
                  <c:v>368.02999999999975</c:v>
                </c:pt>
                <c:pt idx="268">
                  <c:v>369.79999999999973</c:v>
                </c:pt>
                <c:pt idx="269">
                  <c:v>371.56999999999971</c:v>
                </c:pt>
                <c:pt idx="270">
                  <c:v>373.33999999999969</c:v>
                </c:pt>
                <c:pt idx="271">
                  <c:v>375.10999999999967</c:v>
                </c:pt>
                <c:pt idx="272">
                  <c:v>376.87999999999965</c:v>
                </c:pt>
                <c:pt idx="273">
                  <c:v>341.48</c:v>
                </c:pt>
                <c:pt idx="274">
                  <c:v>343.25</c:v>
                </c:pt>
                <c:pt idx="275">
                  <c:v>345.02</c:v>
                </c:pt>
                <c:pt idx="276">
                  <c:v>346.78999999999996</c:v>
                </c:pt>
                <c:pt idx="277">
                  <c:v>348.55999999999995</c:v>
                </c:pt>
                <c:pt idx="278">
                  <c:v>350.32999999999993</c:v>
                </c:pt>
                <c:pt idx="279">
                  <c:v>352.09999999999991</c:v>
                </c:pt>
                <c:pt idx="280">
                  <c:v>353.86999999999989</c:v>
                </c:pt>
                <c:pt idx="281">
                  <c:v>355.63999999999987</c:v>
                </c:pt>
                <c:pt idx="282">
                  <c:v>357.40999999999985</c:v>
                </c:pt>
                <c:pt idx="283">
                  <c:v>359.17999999999984</c:v>
                </c:pt>
                <c:pt idx="284">
                  <c:v>360.94999999999982</c:v>
                </c:pt>
                <c:pt idx="285">
                  <c:v>362.7199999999998</c:v>
                </c:pt>
                <c:pt idx="286">
                  <c:v>364.48999999999978</c:v>
                </c:pt>
                <c:pt idx="287">
                  <c:v>366.25999999999976</c:v>
                </c:pt>
                <c:pt idx="288">
                  <c:v>368.02999999999975</c:v>
                </c:pt>
                <c:pt idx="289">
                  <c:v>369.79999999999973</c:v>
                </c:pt>
                <c:pt idx="290">
                  <c:v>371.56999999999971</c:v>
                </c:pt>
                <c:pt idx="291">
                  <c:v>373.33999999999969</c:v>
                </c:pt>
                <c:pt idx="292">
                  <c:v>375.10999999999967</c:v>
                </c:pt>
                <c:pt idx="293">
                  <c:v>376.87999999999965</c:v>
                </c:pt>
                <c:pt idx="294">
                  <c:v>341.48</c:v>
                </c:pt>
                <c:pt idx="295">
                  <c:v>343.25</c:v>
                </c:pt>
                <c:pt idx="296">
                  <c:v>345.02</c:v>
                </c:pt>
                <c:pt idx="297">
                  <c:v>346.78999999999996</c:v>
                </c:pt>
                <c:pt idx="298">
                  <c:v>348.55999999999995</c:v>
                </c:pt>
                <c:pt idx="299">
                  <c:v>350.32999999999993</c:v>
                </c:pt>
                <c:pt idx="300">
                  <c:v>352.09999999999991</c:v>
                </c:pt>
                <c:pt idx="301">
                  <c:v>353.86999999999989</c:v>
                </c:pt>
                <c:pt idx="302">
                  <c:v>355.63999999999987</c:v>
                </c:pt>
                <c:pt idx="303">
                  <c:v>357.40999999999985</c:v>
                </c:pt>
                <c:pt idx="304">
                  <c:v>359.17999999999984</c:v>
                </c:pt>
                <c:pt idx="305">
                  <c:v>360.94999999999982</c:v>
                </c:pt>
                <c:pt idx="306">
                  <c:v>362.7199999999998</c:v>
                </c:pt>
                <c:pt idx="307">
                  <c:v>364.48999999999978</c:v>
                </c:pt>
                <c:pt idx="308">
                  <c:v>366.25999999999976</c:v>
                </c:pt>
                <c:pt idx="309">
                  <c:v>368.02999999999975</c:v>
                </c:pt>
                <c:pt idx="310">
                  <c:v>369.79999999999973</c:v>
                </c:pt>
                <c:pt idx="311">
                  <c:v>371.56999999999971</c:v>
                </c:pt>
                <c:pt idx="312">
                  <c:v>373.33999999999969</c:v>
                </c:pt>
                <c:pt idx="313">
                  <c:v>375.10999999999967</c:v>
                </c:pt>
                <c:pt idx="314">
                  <c:v>376.87999999999965</c:v>
                </c:pt>
                <c:pt idx="315">
                  <c:v>341.48</c:v>
                </c:pt>
                <c:pt idx="316">
                  <c:v>343.25</c:v>
                </c:pt>
                <c:pt idx="317">
                  <c:v>345.02</c:v>
                </c:pt>
                <c:pt idx="318">
                  <c:v>346.78999999999996</c:v>
                </c:pt>
                <c:pt idx="319">
                  <c:v>348.55999999999995</c:v>
                </c:pt>
                <c:pt idx="320">
                  <c:v>350.32999999999993</c:v>
                </c:pt>
                <c:pt idx="321">
                  <c:v>352.09999999999991</c:v>
                </c:pt>
                <c:pt idx="322">
                  <c:v>353.86999999999989</c:v>
                </c:pt>
                <c:pt idx="323">
                  <c:v>355.63999999999987</c:v>
                </c:pt>
                <c:pt idx="324">
                  <c:v>357.40999999999985</c:v>
                </c:pt>
                <c:pt idx="325">
                  <c:v>359.17999999999984</c:v>
                </c:pt>
                <c:pt idx="326">
                  <c:v>360.94999999999982</c:v>
                </c:pt>
                <c:pt idx="327">
                  <c:v>362.7199999999998</c:v>
                </c:pt>
                <c:pt idx="328">
                  <c:v>364.48999999999978</c:v>
                </c:pt>
                <c:pt idx="329">
                  <c:v>366.25999999999976</c:v>
                </c:pt>
                <c:pt idx="330">
                  <c:v>368.02999999999975</c:v>
                </c:pt>
                <c:pt idx="331">
                  <c:v>369.79999999999973</c:v>
                </c:pt>
                <c:pt idx="332">
                  <c:v>371.56999999999971</c:v>
                </c:pt>
                <c:pt idx="333">
                  <c:v>373.33999999999969</c:v>
                </c:pt>
                <c:pt idx="334">
                  <c:v>375.10999999999967</c:v>
                </c:pt>
                <c:pt idx="335">
                  <c:v>376.87999999999965</c:v>
                </c:pt>
                <c:pt idx="336">
                  <c:v>341.48</c:v>
                </c:pt>
                <c:pt idx="337">
                  <c:v>343.25</c:v>
                </c:pt>
                <c:pt idx="338">
                  <c:v>345.02</c:v>
                </c:pt>
                <c:pt idx="339">
                  <c:v>346.78999999999996</c:v>
                </c:pt>
                <c:pt idx="340">
                  <c:v>348.55999999999995</c:v>
                </c:pt>
                <c:pt idx="341">
                  <c:v>350.32999999999993</c:v>
                </c:pt>
                <c:pt idx="342">
                  <c:v>352.09999999999991</c:v>
                </c:pt>
                <c:pt idx="343">
                  <c:v>353.86999999999989</c:v>
                </c:pt>
                <c:pt idx="344">
                  <c:v>355.63999999999987</c:v>
                </c:pt>
                <c:pt idx="345">
                  <c:v>357.40999999999985</c:v>
                </c:pt>
                <c:pt idx="346">
                  <c:v>359.17999999999984</c:v>
                </c:pt>
                <c:pt idx="347">
                  <c:v>360.94999999999982</c:v>
                </c:pt>
                <c:pt idx="348">
                  <c:v>362.7199999999998</c:v>
                </c:pt>
                <c:pt idx="349">
                  <c:v>364.48999999999978</c:v>
                </c:pt>
                <c:pt idx="350">
                  <c:v>366.25999999999976</c:v>
                </c:pt>
                <c:pt idx="351">
                  <c:v>368.02999999999975</c:v>
                </c:pt>
                <c:pt idx="352">
                  <c:v>369.79999999999973</c:v>
                </c:pt>
                <c:pt idx="353">
                  <c:v>371.56999999999971</c:v>
                </c:pt>
                <c:pt idx="354">
                  <c:v>373.33999999999969</c:v>
                </c:pt>
                <c:pt idx="355">
                  <c:v>375.10999999999967</c:v>
                </c:pt>
                <c:pt idx="356">
                  <c:v>376.87999999999965</c:v>
                </c:pt>
                <c:pt idx="357">
                  <c:v>341.48</c:v>
                </c:pt>
                <c:pt idx="358">
                  <c:v>343.25</c:v>
                </c:pt>
                <c:pt idx="359">
                  <c:v>345.02</c:v>
                </c:pt>
                <c:pt idx="360">
                  <c:v>346.78999999999996</c:v>
                </c:pt>
                <c:pt idx="361">
                  <c:v>348.55999999999995</c:v>
                </c:pt>
                <c:pt idx="362">
                  <c:v>350.32999999999993</c:v>
                </c:pt>
                <c:pt idx="363">
                  <c:v>352.09999999999991</c:v>
                </c:pt>
                <c:pt idx="364">
                  <c:v>353.86999999999989</c:v>
                </c:pt>
                <c:pt idx="365">
                  <c:v>355.63999999999987</c:v>
                </c:pt>
                <c:pt idx="366">
                  <c:v>357.40999999999985</c:v>
                </c:pt>
                <c:pt idx="367">
                  <c:v>359.17999999999984</c:v>
                </c:pt>
                <c:pt idx="368">
                  <c:v>360.94999999999982</c:v>
                </c:pt>
                <c:pt idx="369">
                  <c:v>362.7199999999998</c:v>
                </c:pt>
                <c:pt idx="370">
                  <c:v>364.48999999999978</c:v>
                </c:pt>
                <c:pt idx="371">
                  <c:v>366.25999999999976</c:v>
                </c:pt>
                <c:pt idx="372">
                  <c:v>368.02999999999975</c:v>
                </c:pt>
                <c:pt idx="373">
                  <c:v>369.79999999999973</c:v>
                </c:pt>
                <c:pt idx="374">
                  <c:v>371.56999999999971</c:v>
                </c:pt>
                <c:pt idx="375">
                  <c:v>373.33999999999969</c:v>
                </c:pt>
                <c:pt idx="376">
                  <c:v>375.10999999999967</c:v>
                </c:pt>
                <c:pt idx="377">
                  <c:v>376.87999999999965</c:v>
                </c:pt>
                <c:pt idx="378">
                  <c:v>341.48</c:v>
                </c:pt>
                <c:pt idx="379">
                  <c:v>343.25</c:v>
                </c:pt>
                <c:pt idx="380">
                  <c:v>345.02</c:v>
                </c:pt>
                <c:pt idx="381">
                  <c:v>346.78999999999996</c:v>
                </c:pt>
                <c:pt idx="382">
                  <c:v>348.55999999999995</c:v>
                </c:pt>
                <c:pt idx="383">
                  <c:v>350.32999999999993</c:v>
                </c:pt>
                <c:pt idx="384">
                  <c:v>352.09999999999991</c:v>
                </c:pt>
                <c:pt idx="385">
                  <c:v>353.86999999999989</c:v>
                </c:pt>
                <c:pt idx="386">
                  <c:v>355.63999999999987</c:v>
                </c:pt>
                <c:pt idx="387">
                  <c:v>357.40999999999985</c:v>
                </c:pt>
                <c:pt idx="388">
                  <c:v>359.17999999999984</c:v>
                </c:pt>
                <c:pt idx="389">
                  <c:v>360.94999999999982</c:v>
                </c:pt>
                <c:pt idx="390">
                  <c:v>362.7199999999998</c:v>
                </c:pt>
                <c:pt idx="391">
                  <c:v>364.48999999999978</c:v>
                </c:pt>
                <c:pt idx="392">
                  <c:v>366.25999999999976</c:v>
                </c:pt>
                <c:pt idx="393">
                  <c:v>368.02999999999975</c:v>
                </c:pt>
                <c:pt idx="394">
                  <c:v>369.79999999999973</c:v>
                </c:pt>
                <c:pt idx="395">
                  <c:v>371.56999999999971</c:v>
                </c:pt>
                <c:pt idx="396">
                  <c:v>373.33999999999969</c:v>
                </c:pt>
                <c:pt idx="397">
                  <c:v>375.10999999999967</c:v>
                </c:pt>
                <c:pt idx="398">
                  <c:v>376.87999999999965</c:v>
                </c:pt>
                <c:pt idx="399">
                  <c:v>341.48</c:v>
                </c:pt>
                <c:pt idx="400">
                  <c:v>343.25</c:v>
                </c:pt>
                <c:pt idx="401">
                  <c:v>345.02</c:v>
                </c:pt>
                <c:pt idx="402">
                  <c:v>346.78999999999996</c:v>
                </c:pt>
                <c:pt idx="403">
                  <c:v>348.55999999999995</c:v>
                </c:pt>
                <c:pt idx="404">
                  <c:v>350.32999999999993</c:v>
                </c:pt>
                <c:pt idx="405">
                  <c:v>352.09999999999991</c:v>
                </c:pt>
                <c:pt idx="406">
                  <c:v>353.86999999999989</c:v>
                </c:pt>
                <c:pt idx="407">
                  <c:v>355.63999999999987</c:v>
                </c:pt>
                <c:pt idx="408">
                  <c:v>357.40999999999985</c:v>
                </c:pt>
                <c:pt idx="409">
                  <c:v>359.17999999999984</c:v>
                </c:pt>
                <c:pt idx="410">
                  <c:v>360.94999999999982</c:v>
                </c:pt>
                <c:pt idx="411">
                  <c:v>362.7199999999998</c:v>
                </c:pt>
                <c:pt idx="412">
                  <c:v>364.48999999999978</c:v>
                </c:pt>
                <c:pt idx="413">
                  <c:v>366.25999999999976</c:v>
                </c:pt>
                <c:pt idx="414">
                  <c:v>368.02999999999975</c:v>
                </c:pt>
                <c:pt idx="415">
                  <c:v>369.79999999999973</c:v>
                </c:pt>
                <c:pt idx="416">
                  <c:v>371.56999999999971</c:v>
                </c:pt>
                <c:pt idx="417">
                  <c:v>373.33999999999969</c:v>
                </c:pt>
                <c:pt idx="418">
                  <c:v>375.10999999999967</c:v>
                </c:pt>
                <c:pt idx="419">
                  <c:v>376.87999999999965</c:v>
                </c:pt>
                <c:pt idx="420">
                  <c:v>341.48</c:v>
                </c:pt>
                <c:pt idx="421">
                  <c:v>343.25</c:v>
                </c:pt>
                <c:pt idx="422">
                  <c:v>345.02</c:v>
                </c:pt>
                <c:pt idx="423">
                  <c:v>346.78999999999996</c:v>
                </c:pt>
                <c:pt idx="424">
                  <c:v>348.55999999999995</c:v>
                </c:pt>
                <c:pt idx="425">
                  <c:v>350.32999999999993</c:v>
                </c:pt>
                <c:pt idx="426">
                  <c:v>352.09999999999991</c:v>
                </c:pt>
                <c:pt idx="427">
                  <c:v>353.86999999999989</c:v>
                </c:pt>
                <c:pt idx="428">
                  <c:v>355.63999999999987</c:v>
                </c:pt>
                <c:pt idx="429">
                  <c:v>357.40999999999985</c:v>
                </c:pt>
                <c:pt idx="430">
                  <c:v>359.17999999999984</c:v>
                </c:pt>
                <c:pt idx="431">
                  <c:v>360.94999999999982</c:v>
                </c:pt>
                <c:pt idx="432">
                  <c:v>362.7199999999998</c:v>
                </c:pt>
                <c:pt idx="433">
                  <c:v>364.48999999999978</c:v>
                </c:pt>
                <c:pt idx="434">
                  <c:v>366.25999999999976</c:v>
                </c:pt>
                <c:pt idx="435">
                  <c:v>368.02999999999975</c:v>
                </c:pt>
                <c:pt idx="436">
                  <c:v>369.79999999999973</c:v>
                </c:pt>
                <c:pt idx="437">
                  <c:v>371.56999999999971</c:v>
                </c:pt>
                <c:pt idx="438">
                  <c:v>373.33999999999969</c:v>
                </c:pt>
                <c:pt idx="439">
                  <c:v>375.10999999999967</c:v>
                </c:pt>
                <c:pt idx="440">
                  <c:v>376.87999999999965</c:v>
                </c:pt>
              </c:numCache>
            </c:numRef>
          </c:xVal>
          <c:yVal>
            <c:numRef>
              <c:f>optimization!$L$11:$L$20000</c:f>
              <c:numCache>
                <c:formatCode>General</c:formatCode>
                <c:ptCount val="1999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6</c:v>
                </c:pt>
                <c:pt idx="106">
                  <c:v>6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6</c:v>
                </c:pt>
                <c:pt idx="169">
                  <c:v>6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6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6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6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6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6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4</c:v>
                </c:pt>
                <c:pt idx="377">
                  <c:v>4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CA-4BC8-81DE-8F2D22124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038719"/>
        <c:axId val="1482807663"/>
      </c:scatterChart>
      <c:valAx>
        <c:axId val="138003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Temperauture</a:t>
                </a:r>
                <a:r>
                  <a:rPr lang="en-CA" sz="1500" baseline="0"/>
                  <a:t> (K) </a:t>
                </a:r>
                <a:endParaRPr lang="en-CA" sz="15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807663"/>
        <c:crosses val="autoZero"/>
        <c:crossBetween val="midCat"/>
      </c:valAx>
      <c:valAx>
        <c:axId val="148280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Number of Stages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38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optimization!$C$11</c:f>
              <c:strCache>
                <c:ptCount val="1"/>
                <c:pt idx="0">
                  <c:v>1.2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optimization!$B$11:$B$20000</c:f>
              <c:numCache>
                <c:formatCode>General</c:formatCode>
                <c:ptCount val="19990"/>
                <c:pt idx="0">
                  <c:v>341.48</c:v>
                </c:pt>
                <c:pt idx="1">
                  <c:v>343.25</c:v>
                </c:pt>
                <c:pt idx="2">
                  <c:v>345.02</c:v>
                </c:pt>
                <c:pt idx="3">
                  <c:v>346.78999999999996</c:v>
                </c:pt>
                <c:pt idx="4">
                  <c:v>348.55999999999995</c:v>
                </c:pt>
                <c:pt idx="5">
                  <c:v>350.32999999999993</c:v>
                </c:pt>
                <c:pt idx="6">
                  <c:v>352.09999999999991</c:v>
                </c:pt>
                <c:pt idx="7">
                  <c:v>353.86999999999989</c:v>
                </c:pt>
                <c:pt idx="8">
                  <c:v>355.63999999999987</c:v>
                </c:pt>
                <c:pt idx="9">
                  <c:v>357.40999999999985</c:v>
                </c:pt>
                <c:pt idx="10">
                  <c:v>359.17999999999984</c:v>
                </c:pt>
                <c:pt idx="11">
                  <c:v>360.94999999999982</c:v>
                </c:pt>
                <c:pt idx="12">
                  <c:v>362.7199999999998</c:v>
                </c:pt>
                <c:pt idx="13">
                  <c:v>364.48999999999978</c:v>
                </c:pt>
                <c:pt idx="14">
                  <c:v>366.25999999999976</c:v>
                </c:pt>
                <c:pt idx="15">
                  <c:v>368.02999999999975</c:v>
                </c:pt>
                <c:pt idx="16">
                  <c:v>369.79999999999973</c:v>
                </c:pt>
                <c:pt idx="17">
                  <c:v>371.56999999999971</c:v>
                </c:pt>
                <c:pt idx="18">
                  <c:v>373.33999999999969</c:v>
                </c:pt>
                <c:pt idx="19">
                  <c:v>375.10999999999967</c:v>
                </c:pt>
                <c:pt idx="20">
                  <c:v>376.87999999999965</c:v>
                </c:pt>
                <c:pt idx="21">
                  <c:v>341.48</c:v>
                </c:pt>
                <c:pt idx="22">
                  <c:v>343.25</c:v>
                </c:pt>
                <c:pt idx="23">
                  <c:v>345.02</c:v>
                </c:pt>
                <c:pt idx="24">
                  <c:v>346.78999999999996</c:v>
                </c:pt>
                <c:pt idx="25">
                  <c:v>348.55999999999995</c:v>
                </c:pt>
                <c:pt idx="26">
                  <c:v>350.32999999999993</c:v>
                </c:pt>
                <c:pt idx="27">
                  <c:v>352.09999999999991</c:v>
                </c:pt>
                <c:pt idx="28">
                  <c:v>353.86999999999989</c:v>
                </c:pt>
                <c:pt idx="29">
                  <c:v>355.63999999999987</c:v>
                </c:pt>
                <c:pt idx="30">
                  <c:v>357.40999999999985</c:v>
                </c:pt>
                <c:pt idx="31">
                  <c:v>359.17999999999984</c:v>
                </c:pt>
                <c:pt idx="32">
                  <c:v>360.94999999999982</c:v>
                </c:pt>
                <c:pt idx="33">
                  <c:v>362.7199999999998</c:v>
                </c:pt>
                <c:pt idx="34">
                  <c:v>364.48999999999978</c:v>
                </c:pt>
                <c:pt idx="35">
                  <c:v>366.25999999999976</c:v>
                </c:pt>
                <c:pt idx="36">
                  <c:v>368.02999999999975</c:v>
                </c:pt>
                <c:pt idx="37">
                  <c:v>369.79999999999973</c:v>
                </c:pt>
                <c:pt idx="38">
                  <c:v>371.56999999999971</c:v>
                </c:pt>
                <c:pt idx="39">
                  <c:v>373.33999999999969</c:v>
                </c:pt>
                <c:pt idx="40">
                  <c:v>375.10999999999967</c:v>
                </c:pt>
                <c:pt idx="41">
                  <c:v>376.87999999999965</c:v>
                </c:pt>
                <c:pt idx="42">
                  <c:v>341.48</c:v>
                </c:pt>
                <c:pt idx="43">
                  <c:v>343.25</c:v>
                </c:pt>
                <c:pt idx="44">
                  <c:v>345.02</c:v>
                </c:pt>
                <c:pt idx="45">
                  <c:v>346.78999999999996</c:v>
                </c:pt>
                <c:pt idx="46">
                  <c:v>348.55999999999995</c:v>
                </c:pt>
                <c:pt idx="47">
                  <c:v>350.32999999999993</c:v>
                </c:pt>
                <c:pt idx="48">
                  <c:v>352.09999999999991</c:v>
                </c:pt>
                <c:pt idx="49">
                  <c:v>353.86999999999989</c:v>
                </c:pt>
                <c:pt idx="50">
                  <c:v>355.63999999999987</c:v>
                </c:pt>
                <c:pt idx="51">
                  <c:v>357.40999999999985</c:v>
                </c:pt>
                <c:pt idx="52">
                  <c:v>359.17999999999984</c:v>
                </c:pt>
                <c:pt idx="53">
                  <c:v>360.94999999999982</c:v>
                </c:pt>
                <c:pt idx="54">
                  <c:v>362.7199999999998</c:v>
                </c:pt>
                <c:pt idx="55">
                  <c:v>364.48999999999978</c:v>
                </c:pt>
                <c:pt idx="56">
                  <c:v>366.25999999999976</c:v>
                </c:pt>
                <c:pt idx="57">
                  <c:v>368.02999999999975</c:v>
                </c:pt>
                <c:pt idx="58">
                  <c:v>369.79999999999973</c:v>
                </c:pt>
                <c:pt idx="59">
                  <c:v>371.56999999999971</c:v>
                </c:pt>
                <c:pt idx="60">
                  <c:v>373.33999999999969</c:v>
                </c:pt>
                <c:pt idx="61">
                  <c:v>375.10999999999967</c:v>
                </c:pt>
                <c:pt idx="62">
                  <c:v>376.87999999999965</c:v>
                </c:pt>
                <c:pt idx="63">
                  <c:v>341.48</c:v>
                </c:pt>
                <c:pt idx="64">
                  <c:v>343.25</c:v>
                </c:pt>
                <c:pt idx="65">
                  <c:v>345.02</c:v>
                </c:pt>
                <c:pt idx="66">
                  <c:v>346.78999999999996</c:v>
                </c:pt>
                <c:pt idx="67">
                  <c:v>348.55999999999995</c:v>
                </c:pt>
                <c:pt idx="68">
                  <c:v>350.32999999999993</c:v>
                </c:pt>
                <c:pt idx="69">
                  <c:v>352.09999999999991</c:v>
                </c:pt>
                <c:pt idx="70">
                  <c:v>353.86999999999989</c:v>
                </c:pt>
                <c:pt idx="71">
                  <c:v>355.63999999999987</c:v>
                </c:pt>
                <c:pt idx="72">
                  <c:v>357.40999999999985</c:v>
                </c:pt>
                <c:pt idx="73">
                  <c:v>359.17999999999984</c:v>
                </c:pt>
                <c:pt idx="74">
                  <c:v>360.94999999999982</c:v>
                </c:pt>
                <c:pt idx="75">
                  <c:v>362.7199999999998</c:v>
                </c:pt>
                <c:pt idx="76">
                  <c:v>364.48999999999978</c:v>
                </c:pt>
                <c:pt idx="77">
                  <c:v>366.25999999999976</c:v>
                </c:pt>
                <c:pt idx="78">
                  <c:v>368.02999999999975</c:v>
                </c:pt>
                <c:pt idx="79">
                  <c:v>369.79999999999973</c:v>
                </c:pt>
                <c:pt idx="80">
                  <c:v>371.56999999999971</c:v>
                </c:pt>
                <c:pt idx="81">
                  <c:v>373.33999999999969</c:v>
                </c:pt>
                <c:pt idx="82">
                  <c:v>375.10999999999967</c:v>
                </c:pt>
                <c:pt idx="83">
                  <c:v>376.87999999999965</c:v>
                </c:pt>
                <c:pt idx="84">
                  <c:v>341.48</c:v>
                </c:pt>
                <c:pt idx="85">
                  <c:v>343.25</c:v>
                </c:pt>
                <c:pt idx="86">
                  <c:v>345.02</c:v>
                </c:pt>
                <c:pt idx="87">
                  <c:v>346.78999999999996</c:v>
                </c:pt>
                <c:pt idx="88">
                  <c:v>348.55999999999995</c:v>
                </c:pt>
                <c:pt idx="89">
                  <c:v>350.32999999999993</c:v>
                </c:pt>
                <c:pt idx="90">
                  <c:v>352.09999999999991</c:v>
                </c:pt>
                <c:pt idx="91">
                  <c:v>353.86999999999989</c:v>
                </c:pt>
                <c:pt idx="92">
                  <c:v>355.63999999999987</c:v>
                </c:pt>
                <c:pt idx="93">
                  <c:v>357.40999999999985</c:v>
                </c:pt>
                <c:pt idx="94">
                  <c:v>359.17999999999984</c:v>
                </c:pt>
                <c:pt idx="95">
                  <c:v>360.94999999999982</c:v>
                </c:pt>
                <c:pt idx="96">
                  <c:v>362.7199999999998</c:v>
                </c:pt>
                <c:pt idx="97">
                  <c:v>364.48999999999978</c:v>
                </c:pt>
                <c:pt idx="98">
                  <c:v>366.25999999999976</c:v>
                </c:pt>
                <c:pt idx="99">
                  <c:v>368.02999999999975</c:v>
                </c:pt>
                <c:pt idx="100">
                  <c:v>369.79999999999973</c:v>
                </c:pt>
                <c:pt idx="101">
                  <c:v>371.56999999999971</c:v>
                </c:pt>
                <c:pt idx="102">
                  <c:v>373.33999999999969</c:v>
                </c:pt>
                <c:pt idx="103">
                  <c:v>375.10999999999967</c:v>
                </c:pt>
                <c:pt idx="104">
                  <c:v>376.87999999999965</c:v>
                </c:pt>
                <c:pt idx="105">
                  <c:v>341.48</c:v>
                </c:pt>
                <c:pt idx="106">
                  <c:v>343.25</c:v>
                </c:pt>
                <c:pt idx="107">
                  <c:v>345.02</c:v>
                </c:pt>
                <c:pt idx="108">
                  <c:v>346.78999999999996</c:v>
                </c:pt>
                <c:pt idx="109">
                  <c:v>348.55999999999995</c:v>
                </c:pt>
                <c:pt idx="110">
                  <c:v>350.32999999999993</c:v>
                </c:pt>
                <c:pt idx="111">
                  <c:v>352.09999999999991</c:v>
                </c:pt>
                <c:pt idx="112">
                  <c:v>353.86999999999989</c:v>
                </c:pt>
                <c:pt idx="113">
                  <c:v>355.63999999999987</c:v>
                </c:pt>
                <c:pt idx="114">
                  <c:v>357.40999999999985</c:v>
                </c:pt>
                <c:pt idx="115">
                  <c:v>359.17999999999984</c:v>
                </c:pt>
                <c:pt idx="116">
                  <c:v>360.94999999999982</c:v>
                </c:pt>
                <c:pt idx="117">
                  <c:v>362.7199999999998</c:v>
                </c:pt>
                <c:pt idx="118">
                  <c:v>364.48999999999978</c:v>
                </c:pt>
                <c:pt idx="119">
                  <c:v>366.25999999999976</c:v>
                </c:pt>
                <c:pt idx="120">
                  <c:v>368.02999999999975</c:v>
                </c:pt>
                <c:pt idx="121">
                  <c:v>369.79999999999973</c:v>
                </c:pt>
                <c:pt idx="122">
                  <c:v>371.56999999999971</c:v>
                </c:pt>
                <c:pt idx="123">
                  <c:v>373.33999999999969</c:v>
                </c:pt>
                <c:pt idx="124">
                  <c:v>375.10999999999967</c:v>
                </c:pt>
                <c:pt idx="125">
                  <c:v>376.87999999999965</c:v>
                </c:pt>
                <c:pt idx="126">
                  <c:v>341.48</c:v>
                </c:pt>
                <c:pt idx="127">
                  <c:v>343.25</c:v>
                </c:pt>
                <c:pt idx="128">
                  <c:v>345.02</c:v>
                </c:pt>
                <c:pt idx="129">
                  <c:v>346.78999999999996</c:v>
                </c:pt>
                <c:pt idx="130">
                  <c:v>348.55999999999995</c:v>
                </c:pt>
                <c:pt idx="131">
                  <c:v>350.32999999999993</c:v>
                </c:pt>
                <c:pt idx="132">
                  <c:v>352.09999999999991</c:v>
                </c:pt>
                <c:pt idx="133">
                  <c:v>353.86999999999989</c:v>
                </c:pt>
                <c:pt idx="134">
                  <c:v>355.63999999999987</c:v>
                </c:pt>
                <c:pt idx="135">
                  <c:v>357.40999999999985</c:v>
                </c:pt>
                <c:pt idx="136">
                  <c:v>359.17999999999984</c:v>
                </c:pt>
                <c:pt idx="137">
                  <c:v>360.94999999999982</c:v>
                </c:pt>
                <c:pt idx="138">
                  <c:v>362.7199999999998</c:v>
                </c:pt>
                <c:pt idx="139">
                  <c:v>364.48999999999978</c:v>
                </c:pt>
                <c:pt idx="140">
                  <c:v>366.25999999999976</c:v>
                </c:pt>
                <c:pt idx="141">
                  <c:v>368.02999999999975</c:v>
                </c:pt>
                <c:pt idx="142">
                  <c:v>369.79999999999973</c:v>
                </c:pt>
                <c:pt idx="143">
                  <c:v>371.56999999999971</c:v>
                </c:pt>
                <c:pt idx="144">
                  <c:v>373.33999999999969</c:v>
                </c:pt>
                <c:pt idx="145">
                  <c:v>375.10999999999967</c:v>
                </c:pt>
                <c:pt idx="146">
                  <c:v>376.87999999999965</c:v>
                </c:pt>
                <c:pt idx="147">
                  <c:v>341.48</c:v>
                </c:pt>
                <c:pt idx="148">
                  <c:v>343.25</c:v>
                </c:pt>
                <c:pt idx="149">
                  <c:v>345.02</c:v>
                </c:pt>
                <c:pt idx="150">
                  <c:v>346.78999999999996</c:v>
                </c:pt>
                <c:pt idx="151">
                  <c:v>348.55999999999995</c:v>
                </c:pt>
                <c:pt idx="152">
                  <c:v>350.32999999999993</c:v>
                </c:pt>
                <c:pt idx="153">
                  <c:v>352.09999999999991</c:v>
                </c:pt>
                <c:pt idx="154">
                  <c:v>353.86999999999989</c:v>
                </c:pt>
                <c:pt idx="155">
                  <c:v>355.63999999999987</c:v>
                </c:pt>
                <c:pt idx="156">
                  <c:v>357.40999999999985</c:v>
                </c:pt>
                <c:pt idx="157">
                  <c:v>359.17999999999984</c:v>
                </c:pt>
                <c:pt idx="158">
                  <c:v>360.94999999999982</c:v>
                </c:pt>
                <c:pt idx="159">
                  <c:v>362.7199999999998</c:v>
                </c:pt>
                <c:pt idx="160">
                  <c:v>364.48999999999978</c:v>
                </c:pt>
                <c:pt idx="161">
                  <c:v>366.25999999999976</c:v>
                </c:pt>
                <c:pt idx="162">
                  <c:v>368.02999999999975</c:v>
                </c:pt>
                <c:pt idx="163">
                  <c:v>369.79999999999973</c:v>
                </c:pt>
                <c:pt idx="164">
                  <c:v>371.56999999999971</c:v>
                </c:pt>
                <c:pt idx="165">
                  <c:v>373.33999999999969</c:v>
                </c:pt>
                <c:pt idx="166">
                  <c:v>375.10999999999967</c:v>
                </c:pt>
                <c:pt idx="167">
                  <c:v>376.87999999999965</c:v>
                </c:pt>
                <c:pt idx="168">
                  <c:v>341.48</c:v>
                </c:pt>
                <c:pt idx="169">
                  <c:v>343.25</c:v>
                </c:pt>
                <c:pt idx="170">
                  <c:v>345.02</c:v>
                </c:pt>
                <c:pt idx="171">
                  <c:v>346.78999999999996</c:v>
                </c:pt>
                <c:pt idx="172">
                  <c:v>348.55999999999995</c:v>
                </c:pt>
                <c:pt idx="173">
                  <c:v>350.32999999999993</c:v>
                </c:pt>
                <c:pt idx="174">
                  <c:v>352.09999999999991</c:v>
                </c:pt>
                <c:pt idx="175">
                  <c:v>353.86999999999989</c:v>
                </c:pt>
                <c:pt idx="176">
                  <c:v>355.63999999999987</c:v>
                </c:pt>
                <c:pt idx="177">
                  <c:v>357.40999999999985</c:v>
                </c:pt>
                <c:pt idx="178">
                  <c:v>359.17999999999984</c:v>
                </c:pt>
                <c:pt idx="179">
                  <c:v>360.94999999999982</c:v>
                </c:pt>
                <c:pt idx="180">
                  <c:v>362.7199999999998</c:v>
                </c:pt>
                <c:pt idx="181">
                  <c:v>364.48999999999978</c:v>
                </c:pt>
                <c:pt idx="182">
                  <c:v>366.25999999999976</c:v>
                </c:pt>
                <c:pt idx="183">
                  <c:v>368.02999999999975</c:v>
                </c:pt>
                <c:pt idx="184">
                  <c:v>369.79999999999973</c:v>
                </c:pt>
                <c:pt idx="185">
                  <c:v>371.56999999999971</c:v>
                </c:pt>
                <c:pt idx="186">
                  <c:v>373.33999999999969</c:v>
                </c:pt>
                <c:pt idx="187">
                  <c:v>375.10999999999967</c:v>
                </c:pt>
                <c:pt idx="188">
                  <c:v>376.87999999999965</c:v>
                </c:pt>
                <c:pt idx="189">
                  <c:v>341.48</c:v>
                </c:pt>
                <c:pt idx="190">
                  <c:v>343.25</c:v>
                </c:pt>
                <c:pt idx="191">
                  <c:v>345.02</c:v>
                </c:pt>
                <c:pt idx="192">
                  <c:v>346.78999999999996</c:v>
                </c:pt>
                <c:pt idx="193">
                  <c:v>348.55999999999995</c:v>
                </c:pt>
                <c:pt idx="194">
                  <c:v>350.32999999999993</c:v>
                </c:pt>
                <c:pt idx="195">
                  <c:v>352.09999999999991</c:v>
                </c:pt>
                <c:pt idx="196">
                  <c:v>353.86999999999989</c:v>
                </c:pt>
                <c:pt idx="197">
                  <c:v>355.63999999999987</c:v>
                </c:pt>
                <c:pt idx="198">
                  <c:v>357.40999999999985</c:v>
                </c:pt>
                <c:pt idx="199">
                  <c:v>359.17999999999984</c:v>
                </c:pt>
                <c:pt idx="200">
                  <c:v>360.94999999999982</c:v>
                </c:pt>
                <c:pt idx="201">
                  <c:v>362.7199999999998</c:v>
                </c:pt>
                <c:pt idx="202">
                  <c:v>364.48999999999978</c:v>
                </c:pt>
                <c:pt idx="203">
                  <c:v>366.25999999999976</c:v>
                </c:pt>
                <c:pt idx="204">
                  <c:v>368.02999999999975</c:v>
                </c:pt>
                <c:pt idx="205">
                  <c:v>369.79999999999973</c:v>
                </c:pt>
                <c:pt idx="206">
                  <c:v>371.56999999999971</c:v>
                </c:pt>
                <c:pt idx="207">
                  <c:v>373.33999999999969</c:v>
                </c:pt>
                <c:pt idx="208">
                  <c:v>375.10999999999967</c:v>
                </c:pt>
                <c:pt idx="209">
                  <c:v>376.87999999999965</c:v>
                </c:pt>
                <c:pt idx="210">
                  <c:v>341.48</c:v>
                </c:pt>
                <c:pt idx="211">
                  <c:v>343.25</c:v>
                </c:pt>
                <c:pt idx="212">
                  <c:v>345.02</c:v>
                </c:pt>
                <c:pt idx="213">
                  <c:v>346.78999999999996</c:v>
                </c:pt>
                <c:pt idx="214">
                  <c:v>348.55999999999995</c:v>
                </c:pt>
                <c:pt idx="215">
                  <c:v>350.32999999999993</c:v>
                </c:pt>
                <c:pt idx="216">
                  <c:v>352.09999999999991</c:v>
                </c:pt>
                <c:pt idx="217">
                  <c:v>353.86999999999989</c:v>
                </c:pt>
                <c:pt idx="218">
                  <c:v>355.63999999999987</c:v>
                </c:pt>
                <c:pt idx="219">
                  <c:v>357.40999999999985</c:v>
                </c:pt>
                <c:pt idx="220">
                  <c:v>359.17999999999984</c:v>
                </c:pt>
                <c:pt idx="221">
                  <c:v>360.94999999999982</c:v>
                </c:pt>
                <c:pt idx="222">
                  <c:v>362.7199999999998</c:v>
                </c:pt>
                <c:pt idx="223">
                  <c:v>364.48999999999978</c:v>
                </c:pt>
                <c:pt idx="224">
                  <c:v>366.25999999999976</c:v>
                </c:pt>
                <c:pt idx="225">
                  <c:v>368.02999999999975</c:v>
                </c:pt>
                <c:pt idx="226">
                  <c:v>369.79999999999973</c:v>
                </c:pt>
                <c:pt idx="227">
                  <c:v>371.56999999999971</c:v>
                </c:pt>
                <c:pt idx="228">
                  <c:v>373.33999999999969</c:v>
                </c:pt>
                <c:pt idx="229">
                  <c:v>375.10999999999967</c:v>
                </c:pt>
                <c:pt idx="230">
                  <c:v>376.87999999999965</c:v>
                </c:pt>
                <c:pt idx="231">
                  <c:v>341.48</c:v>
                </c:pt>
                <c:pt idx="232">
                  <c:v>343.25</c:v>
                </c:pt>
                <c:pt idx="233">
                  <c:v>345.02</c:v>
                </c:pt>
                <c:pt idx="234">
                  <c:v>346.78999999999996</c:v>
                </c:pt>
                <c:pt idx="235">
                  <c:v>348.55999999999995</c:v>
                </c:pt>
                <c:pt idx="236">
                  <c:v>350.32999999999993</c:v>
                </c:pt>
                <c:pt idx="237">
                  <c:v>352.09999999999991</c:v>
                </c:pt>
                <c:pt idx="238">
                  <c:v>353.86999999999989</c:v>
                </c:pt>
                <c:pt idx="239">
                  <c:v>355.63999999999987</c:v>
                </c:pt>
                <c:pt idx="240">
                  <c:v>357.40999999999985</c:v>
                </c:pt>
                <c:pt idx="241">
                  <c:v>359.17999999999984</c:v>
                </c:pt>
                <c:pt idx="242">
                  <c:v>360.94999999999982</c:v>
                </c:pt>
                <c:pt idx="243">
                  <c:v>362.7199999999998</c:v>
                </c:pt>
                <c:pt idx="244">
                  <c:v>364.48999999999978</c:v>
                </c:pt>
                <c:pt idx="245">
                  <c:v>366.25999999999976</c:v>
                </c:pt>
                <c:pt idx="246">
                  <c:v>368.02999999999975</c:v>
                </c:pt>
                <c:pt idx="247">
                  <c:v>369.79999999999973</c:v>
                </c:pt>
                <c:pt idx="248">
                  <c:v>371.56999999999971</c:v>
                </c:pt>
                <c:pt idx="249">
                  <c:v>373.33999999999969</c:v>
                </c:pt>
                <c:pt idx="250">
                  <c:v>375.10999999999967</c:v>
                </c:pt>
                <c:pt idx="251">
                  <c:v>376.87999999999965</c:v>
                </c:pt>
                <c:pt idx="252">
                  <c:v>341.48</c:v>
                </c:pt>
                <c:pt idx="253">
                  <c:v>343.25</c:v>
                </c:pt>
                <c:pt idx="254">
                  <c:v>345.02</c:v>
                </c:pt>
                <c:pt idx="255">
                  <c:v>346.78999999999996</c:v>
                </c:pt>
                <c:pt idx="256">
                  <c:v>348.55999999999995</c:v>
                </c:pt>
                <c:pt idx="257">
                  <c:v>350.32999999999993</c:v>
                </c:pt>
                <c:pt idx="258">
                  <c:v>352.09999999999991</c:v>
                </c:pt>
                <c:pt idx="259">
                  <c:v>353.86999999999989</c:v>
                </c:pt>
                <c:pt idx="260">
                  <c:v>355.63999999999987</c:v>
                </c:pt>
                <c:pt idx="261">
                  <c:v>357.40999999999985</c:v>
                </c:pt>
                <c:pt idx="262">
                  <c:v>359.17999999999984</c:v>
                </c:pt>
                <c:pt idx="263">
                  <c:v>360.94999999999982</c:v>
                </c:pt>
                <c:pt idx="264">
                  <c:v>362.7199999999998</c:v>
                </c:pt>
                <c:pt idx="265">
                  <c:v>364.48999999999978</c:v>
                </c:pt>
                <c:pt idx="266">
                  <c:v>366.25999999999976</c:v>
                </c:pt>
                <c:pt idx="267">
                  <c:v>368.02999999999975</c:v>
                </c:pt>
                <c:pt idx="268">
                  <c:v>369.79999999999973</c:v>
                </c:pt>
                <c:pt idx="269">
                  <c:v>371.56999999999971</c:v>
                </c:pt>
                <c:pt idx="270">
                  <c:v>373.33999999999969</c:v>
                </c:pt>
                <c:pt idx="271">
                  <c:v>375.10999999999967</c:v>
                </c:pt>
                <c:pt idx="272">
                  <c:v>376.87999999999965</c:v>
                </c:pt>
                <c:pt idx="273">
                  <c:v>341.48</c:v>
                </c:pt>
                <c:pt idx="274">
                  <c:v>343.25</c:v>
                </c:pt>
                <c:pt idx="275">
                  <c:v>345.02</c:v>
                </c:pt>
                <c:pt idx="276">
                  <c:v>346.78999999999996</c:v>
                </c:pt>
                <c:pt idx="277">
                  <c:v>348.55999999999995</c:v>
                </c:pt>
                <c:pt idx="278">
                  <c:v>350.32999999999993</c:v>
                </c:pt>
                <c:pt idx="279">
                  <c:v>352.09999999999991</c:v>
                </c:pt>
                <c:pt idx="280">
                  <c:v>353.86999999999989</c:v>
                </c:pt>
                <c:pt idx="281">
                  <c:v>355.63999999999987</c:v>
                </c:pt>
                <c:pt idx="282">
                  <c:v>357.40999999999985</c:v>
                </c:pt>
                <c:pt idx="283">
                  <c:v>359.17999999999984</c:v>
                </c:pt>
                <c:pt idx="284">
                  <c:v>360.94999999999982</c:v>
                </c:pt>
                <c:pt idx="285">
                  <c:v>362.7199999999998</c:v>
                </c:pt>
                <c:pt idx="286">
                  <c:v>364.48999999999978</c:v>
                </c:pt>
                <c:pt idx="287">
                  <c:v>366.25999999999976</c:v>
                </c:pt>
                <c:pt idx="288">
                  <c:v>368.02999999999975</c:v>
                </c:pt>
                <c:pt idx="289">
                  <c:v>369.79999999999973</c:v>
                </c:pt>
                <c:pt idx="290">
                  <c:v>371.56999999999971</c:v>
                </c:pt>
                <c:pt idx="291">
                  <c:v>373.33999999999969</c:v>
                </c:pt>
                <c:pt idx="292">
                  <c:v>375.10999999999967</c:v>
                </c:pt>
                <c:pt idx="293">
                  <c:v>376.87999999999965</c:v>
                </c:pt>
                <c:pt idx="294">
                  <c:v>341.48</c:v>
                </c:pt>
                <c:pt idx="295">
                  <c:v>343.25</c:v>
                </c:pt>
                <c:pt idx="296">
                  <c:v>345.02</c:v>
                </c:pt>
                <c:pt idx="297">
                  <c:v>346.78999999999996</c:v>
                </c:pt>
                <c:pt idx="298">
                  <c:v>348.55999999999995</c:v>
                </c:pt>
                <c:pt idx="299">
                  <c:v>350.32999999999993</c:v>
                </c:pt>
                <c:pt idx="300">
                  <c:v>352.09999999999991</c:v>
                </c:pt>
                <c:pt idx="301">
                  <c:v>353.86999999999989</c:v>
                </c:pt>
                <c:pt idx="302">
                  <c:v>355.63999999999987</c:v>
                </c:pt>
                <c:pt idx="303">
                  <c:v>357.40999999999985</c:v>
                </c:pt>
                <c:pt idx="304">
                  <c:v>359.17999999999984</c:v>
                </c:pt>
                <c:pt idx="305">
                  <c:v>360.94999999999982</c:v>
                </c:pt>
                <c:pt idx="306">
                  <c:v>362.7199999999998</c:v>
                </c:pt>
                <c:pt idx="307">
                  <c:v>364.48999999999978</c:v>
                </c:pt>
                <c:pt idx="308">
                  <c:v>366.25999999999976</c:v>
                </c:pt>
                <c:pt idx="309">
                  <c:v>368.02999999999975</c:v>
                </c:pt>
                <c:pt idx="310">
                  <c:v>369.79999999999973</c:v>
                </c:pt>
                <c:pt idx="311">
                  <c:v>371.56999999999971</c:v>
                </c:pt>
                <c:pt idx="312">
                  <c:v>373.33999999999969</c:v>
                </c:pt>
                <c:pt idx="313">
                  <c:v>375.10999999999967</c:v>
                </c:pt>
                <c:pt idx="314">
                  <c:v>376.87999999999965</c:v>
                </c:pt>
                <c:pt idx="315">
                  <c:v>341.48</c:v>
                </c:pt>
                <c:pt idx="316">
                  <c:v>343.25</c:v>
                </c:pt>
                <c:pt idx="317">
                  <c:v>345.02</c:v>
                </c:pt>
                <c:pt idx="318">
                  <c:v>346.78999999999996</c:v>
                </c:pt>
                <c:pt idx="319">
                  <c:v>348.55999999999995</c:v>
                </c:pt>
                <c:pt idx="320">
                  <c:v>350.32999999999993</c:v>
                </c:pt>
                <c:pt idx="321">
                  <c:v>352.09999999999991</c:v>
                </c:pt>
                <c:pt idx="322">
                  <c:v>353.86999999999989</c:v>
                </c:pt>
                <c:pt idx="323">
                  <c:v>355.63999999999987</c:v>
                </c:pt>
                <c:pt idx="324">
                  <c:v>357.40999999999985</c:v>
                </c:pt>
                <c:pt idx="325">
                  <c:v>359.17999999999984</c:v>
                </c:pt>
                <c:pt idx="326">
                  <c:v>360.94999999999982</c:v>
                </c:pt>
                <c:pt idx="327">
                  <c:v>362.7199999999998</c:v>
                </c:pt>
                <c:pt idx="328">
                  <c:v>364.48999999999978</c:v>
                </c:pt>
                <c:pt idx="329">
                  <c:v>366.25999999999976</c:v>
                </c:pt>
                <c:pt idx="330">
                  <c:v>368.02999999999975</c:v>
                </c:pt>
                <c:pt idx="331">
                  <c:v>369.79999999999973</c:v>
                </c:pt>
                <c:pt idx="332">
                  <c:v>371.56999999999971</c:v>
                </c:pt>
                <c:pt idx="333">
                  <c:v>373.33999999999969</c:v>
                </c:pt>
                <c:pt idx="334">
                  <c:v>375.10999999999967</c:v>
                </c:pt>
                <c:pt idx="335">
                  <c:v>376.87999999999965</c:v>
                </c:pt>
                <c:pt idx="336">
                  <c:v>341.48</c:v>
                </c:pt>
                <c:pt idx="337">
                  <c:v>343.25</c:v>
                </c:pt>
                <c:pt idx="338">
                  <c:v>345.02</c:v>
                </c:pt>
                <c:pt idx="339">
                  <c:v>346.78999999999996</c:v>
                </c:pt>
                <c:pt idx="340">
                  <c:v>348.55999999999995</c:v>
                </c:pt>
                <c:pt idx="341">
                  <c:v>350.32999999999993</c:v>
                </c:pt>
                <c:pt idx="342">
                  <c:v>352.09999999999991</c:v>
                </c:pt>
                <c:pt idx="343">
                  <c:v>353.86999999999989</c:v>
                </c:pt>
                <c:pt idx="344">
                  <c:v>355.63999999999987</c:v>
                </c:pt>
                <c:pt idx="345">
                  <c:v>357.40999999999985</c:v>
                </c:pt>
                <c:pt idx="346">
                  <c:v>359.17999999999984</c:v>
                </c:pt>
                <c:pt idx="347">
                  <c:v>360.94999999999982</c:v>
                </c:pt>
                <c:pt idx="348">
                  <c:v>362.7199999999998</c:v>
                </c:pt>
                <c:pt idx="349">
                  <c:v>364.48999999999978</c:v>
                </c:pt>
                <c:pt idx="350">
                  <c:v>366.25999999999976</c:v>
                </c:pt>
                <c:pt idx="351">
                  <c:v>368.02999999999975</c:v>
                </c:pt>
                <c:pt idx="352">
                  <c:v>369.79999999999973</c:v>
                </c:pt>
                <c:pt idx="353">
                  <c:v>371.56999999999971</c:v>
                </c:pt>
                <c:pt idx="354">
                  <c:v>373.33999999999969</c:v>
                </c:pt>
                <c:pt idx="355">
                  <c:v>375.10999999999967</c:v>
                </c:pt>
                <c:pt idx="356">
                  <c:v>376.87999999999965</c:v>
                </c:pt>
                <c:pt idx="357">
                  <c:v>341.48</c:v>
                </c:pt>
                <c:pt idx="358">
                  <c:v>343.25</c:v>
                </c:pt>
                <c:pt idx="359">
                  <c:v>345.02</c:v>
                </c:pt>
                <c:pt idx="360">
                  <c:v>346.78999999999996</c:v>
                </c:pt>
                <c:pt idx="361">
                  <c:v>348.55999999999995</c:v>
                </c:pt>
                <c:pt idx="362">
                  <c:v>350.32999999999993</c:v>
                </c:pt>
                <c:pt idx="363">
                  <c:v>352.09999999999991</c:v>
                </c:pt>
                <c:pt idx="364">
                  <c:v>353.86999999999989</c:v>
                </c:pt>
                <c:pt idx="365">
                  <c:v>355.63999999999987</c:v>
                </c:pt>
                <c:pt idx="366">
                  <c:v>357.40999999999985</c:v>
                </c:pt>
                <c:pt idx="367">
                  <c:v>359.17999999999984</c:v>
                </c:pt>
                <c:pt idx="368">
                  <c:v>360.94999999999982</c:v>
                </c:pt>
                <c:pt idx="369">
                  <c:v>362.7199999999998</c:v>
                </c:pt>
                <c:pt idx="370">
                  <c:v>364.48999999999978</c:v>
                </c:pt>
                <c:pt idx="371">
                  <c:v>366.25999999999976</c:v>
                </c:pt>
                <c:pt idx="372">
                  <c:v>368.02999999999975</c:v>
                </c:pt>
                <c:pt idx="373">
                  <c:v>369.79999999999973</c:v>
                </c:pt>
                <c:pt idx="374">
                  <c:v>371.56999999999971</c:v>
                </c:pt>
                <c:pt idx="375">
                  <c:v>373.33999999999969</c:v>
                </c:pt>
                <c:pt idx="376">
                  <c:v>375.10999999999967</c:v>
                </c:pt>
                <c:pt idx="377">
                  <c:v>376.87999999999965</c:v>
                </c:pt>
                <c:pt idx="378">
                  <c:v>341.48</c:v>
                </c:pt>
                <c:pt idx="379">
                  <c:v>343.25</c:v>
                </c:pt>
                <c:pt idx="380">
                  <c:v>345.02</c:v>
                </c:pt>
                <c:pt idx="381">
                  <c:v>346.78999999999996</c:v>
                </c:pt>
                <c:pt idx="382">
                  <c:v>348.55999999999995</c:v>
                </c:pt>
                <c:pt idx="383">
                  <c:v>350.32999999999993</c:v>
                </c:pt>
                <c:pt idx="384">
                  <c:v>352.09999999999991</c:v>
                </c:pt>
                <c:pt idx="385">
                  <c:v>353.86999999999989</c:v>
                </c:pt>
                <c:pt idx="386">
                  <c:v>355.63999999999987</c:v>
                </c:pt>
                <c:pt idx="387">
                  <c:v>357.40999999999985</c:v>
                </c:pt>
                <c:pt idx="388">
                  <c:v>359.17999999999984</c:v>
                </c:pt>
                <c:pt idx="389">
                  <c:v>360.94999999999982</c:v>
                </c:pt>
                <c:pt idx="390">
                  <c:v>362.7199999999998</c:v>
                </c:pt>
                <c:pt idx="391">
                  <c:v>364.48999999999978</c:v>
                </c:pt>
                <c:pt idx="392">
                  <c:v>366.25999999999976</c:v>
                </c:pt>
                <c:pt idx="393">
                  <c:v>368.02999999999975</c:v>
                </c:pt>
                <c:pt idx="394">
                  <c:v>369.79999999999973</c:v>
                </c:pt>
                <c:pt idx="395">
                  <c:v>371.56999999999971</c:v>
                </c:pt>
                <c:pt idx="396">
                  <c:v>373.33999999999969</c:v>
                </c:pt>
                <c:pt idx="397">
                  <c:v>375.10999999999967</c:v>
                </c:pt>
                <c:pt idx="398">
                  <c:v>376.87999999999965</c:v>
                </c:pt>
                <c:pt idx="399">
                  <c:v>341.48</c:v>
                </c:pt>
                <c:pt idx="400">
                  <c:v>343.25</c:v>
                </c:pt>
                <c:pt idx="401">
                  <c:v>345.02</c:v>
                </c:pt>
                <c:pt idx="402">
                  <c:v>346.78999999999996</c:v>
                </c:pt>
                <c:pt idx="403">
                  <c:v>348.55999999999995</c:v>
                </c:pt>
                <c:pt idx="404">
                  <c:v>350.32999999999993</c:v>
                </c:pt>
                <c:pt idx="405">
                  <c:v>352.09999999999991</c:v>
                </c:pt>
                <c:pt idx="406">
                  <c:v>353.86999999999989</c:v>
                </c:pt>
                <c:pt idx="407">
                  <c:v>355.63999999999987</c:v>
                </c:pt>
                <c:pt idx="408">
                  <c:v>357.40999999999985</c:v>
                </c:pt>
                <c:pt idx="409">
                  <c:v>359.17999999999984</c:v>
                </c:pt>
                <c:pt idx="410">
                  <c:v>360.94999999999982</c:v>
                </c:pt>
                <c:pt idx="411">
                  <c:v>362.7199999999998</c:v>
                </c:pt>
                <c:pt idx="412">
                  <c:v>364.48999999999978</c:v>
                </c:pt>
                <c:pt idx="413">
                  <c:v>366.25999999999976</c:v>
                </c:pt>
                <c:pt idx="414">
                  <c:v>368.02999999999975</c:v>
                </c:pt>
                <c:pt idx="415">
                  <c:v>369.79999999999973</c:v>
                </c:pt>
                <c:pt idx="416">
                  <c:v>371.56999999999971</c:v>
                </c:pt>
                <c:pt idx="417">
                  <c:v>373.33999999999969</c:v>
                </c:pt>
                <c:pt idx="418">
                  <c:v>375.10999999999967</c:v>
                </c:pt>
                <c:pt idx="419">
                  <c:v>376.87999999999965</c:v>
                </c:pt>
                <c:pt idx="420">
                  <c:v>341.48</c:v>
                </c:pt>
                <c:pt idx="421">
                  <c:v>343.25</c:v>
                </c:pt>
                <c:pt idx="422">
                  <c:v>345.02</c:v>
                </c:pt>
                <c:pt idx="423">
                  <c:v>346.78999999999996</c:v>
                </c:pt>
                <c:pt idx="424">
                  <c:v>348.55999999999995</c:v>
                </c:pt>
                <c:pt idx="425">
                  <c:v>350.32999999999993</c:v>
                </c:pt>
                <c:pt idx="426">
                  <c:v>352.09999999999991</c:v>
                </c:pt>
                <c:pt idx="427">
                  <c:v>353.86999999999989</c:v>
                </c:pt>
                <c:pt idx="428">
                  <c:v>355.63999999999987</c:v>
                </c:pt>
                <c:pt idx="429">
                  <c:v>357.40999999999985</c:v>
                </c:pt>
                <c:pt idx="430">
                  <c:v>359.17999999999984</c:v>
                </c:pt>
                <c:pt idx="431">
                  <c:v>360.94999999999982</c:v>
                </c:pt>
                <c:pt idx="432">
                  <c:v>362.7199999999998</c:v>
                </c:pt>
                <c:pt idx="433">
                  <c:v>364.48999999999978</c:v>
                </c:pt>
                <c:pt idx="434">
                  <c:v>366.25999999999976</c:v>
                </c:pt>
                <c:pt idx="435">
                  <c:v>368.02999999999975</c:v>
                </c:pt>
                <c:pt idx="436">
                  <c:v>369.79999999999973</c:v>
                </c:pt>
                <c:pt idx="437">
                  <c:v>371.56999999999971</c:v>
                </c:pt>
                <c:pt idx="438">
                  <c:v>373.33999999999969</c:v>
                </c:pt>
                <c:pt idx="439">
                  <c:v>375.10999999999967</c:v>
                </c:pt>
                <c:pt idx="440">
                  <c:v>376.87999999999965</c:v>
                </c:pt>
              </c:numCache>
            </c:numRef>
          </c:xVal>
          <c:yVal>
            <c:numRef>
              <c:f>optimization!$K$11:$K$20000</c:f>
              <c:numCache>
                <c:formatCode>General</c:formatCode>
                <c:ptCount val="19990"/>
                <c:pt idx="0">
                  <c:v>2281.5601508357313</c:v>
                </c:pt>
                <c:pt idx="1">
                  <c:v>2026.8661907215551</c:v>
                </c:pt>
                <c:pt idx="2">
                  <c:v>1844.9213925322431</c:v>
                </c:pt>
                <c:pt idx="3">
                  <c:v>1702.3505291207753</c:v>
                </c:pt>
                <c:pt idx="4">
                  <c:v>1583.0283290870207</c:v>
                </c:pt>
                <c:pt idx="5">
                  <c:v>1478.2035452240809</c:v>
                </c:pt>
                <c:pt idx="6">
                  <c:v>1382.6356725315568</c:v>
                </c:pt>
                <c:pt idx="7">
                  <c:v>1292.9126619595713</c:v>
                </c:pt>
                <c:pt idx="8">
                  <c:v>1206.6444013327146</c:v>
                </c:pt>
                <c:pt idx="9">
                  <c:v>1122.0526297800318</c:v>
                </c:pt>
                <c:pt idx="10">
                  <c:v>1037.7650190924537</c:v>
                </c:pt>
                <c:pt idx="11">
                  <c:v>952.74308042193286</c:v>
                </c:pt>
                <c:pt idx="12">
                  <c:v>866.33478454110571</c:v>
                </c:pt>
                <c:pt idx="13">
                  <c:v>778.47456815887745</c:v>
                </c:pt>
                <c:pt idx="14">
                  <c:v>690.04304740246346</c:v>
                </c:pt>
                <c:pt idx="15">
                  <c:v>603.25707258367788</c:v>
                </c:pt>
                <c:pt idx="16">
                  <c:v>521.65362390344467</c:v>
                </c:pt>
                <c:pt idx="17">
                  <c:v>449.148915437288</c:v>
                </c:pt>
                <c:pt idx="18">
                  <c:v>388.57917118013324</c:v>
                </c:pt>
                <c:pt idx="19">
                  <c:v>341.05982313802832</c:v>
                </c:pt>
                <c:pt idx="20">
                  <c:v>306.70215661348573</c:v>
                </c:pt>
                <c:pt idx="21">
                  <c:v>2283.4803955237717</c:v>
                </c:pt>
                <c:pt idx="22">
                  <c:v>2029.5755915468926</c:v>
                </c:pt>
                <c:pt idx="23">
                  <c:v>1848.3118786141422</c:v>
                </c:pt>
                <c:pt idx="24">
                  <c:v>1706.335528472541</c:v>
                </c:pt>
                <c:pt idx="25">
                  <c:v>1587.541509681907</c:v>
                </c:pt>
                <c:pt idx="26">
                  <c:v>1483.1940816740107</c:v>
                </c:pt>
                <c:pt idx="27">
                  <c:v>1388.0642653847087</c:v>
                </c:pt>
                <c:pt idx="28">
                  <c:v>1298.7487698589184</c:v>
                </c:pt>
                <c:pt idx="29">
                  <c:v>1212.8645628247009</c:v>
                </c:pt>
                <c:pt idx="30">
                  <c:v>1128.6397883050395</c:v>
                </c:pt>
                <c:pt idx="31">
                  <c:v>1044.7089895237841</c:v>
                </c:pt>
                <c:pt idx="32">
                  <c:v>960.04263602029016</c:v>
                </c:pt>
                <c:pt idx="33">
                  <c:v>874.002370734294</c:v>
                </c:pt>
                <c:pt idx="34">
                  <c:v>786.54537933157303</c:v>
                </c:pt>
                <c:pt idx="35">
                  <c:v>698.59071536513363</c:v>
                </c:pt>
                <c:pt idx="36">
                  <c:v>612.41703983182583</c:v>
                </c:pt>
                <c:pt idx="37">
                  <c:v>531.65038979069163</c:v>
                </c:pt>
                <c:pt idx="38">
                  <c:v>460.31819742788775</c:v>
                </c:pt>
                <c:pt idx="39">
                  <c:v>401.38297183635103</c:v>
                </c:pt>
                <c:pt idx="40">
                  <c:v>356.11370423807199</c:v>
                </c:pt>
                <c:pt idx="41">
                  <c:v>324.85004419967936</c:v>
                </c:pt>
                <c:pt idx="42">
                  <c:v>2285.4006402118116</c:v>
                </c:pt>
                <c:pt idx="43">
                  <c:v>2032.2849923722304</c:v>
                </c:pt>
                <c:pt idx="44">
                  <c:v>1851.7023646960415</c:v>
                </c:pt>
                <c:pt idx="45">
                  <c:v>1710.320527824307</c:v>
                </c:pt>
                <c:pt idx="46">
                  <c:v>1592.0546902767935</c:v>
                </c:pt>
                <c:pt idx="47">
                  <c:v>1488.1846181239407</c:v>
                </c:pt>
                <c:pt idx="48">
                  <c:v>1393.4928582378607</c:v>
                </c:pt>
                <c:pt idx="49">
                  <c:v>1304.5848777582655</c:v>
                </c:pt>
                <c:pt idx="50">
                  <c:v>1219.0847243166872</c:v>
                </c:pt>
                <c:pt idx="51">
                  <c:v>1135.2269468300472</c:v>
                </c:pt>
                <c:pt idx="52">
                  <c:v>1051.6529599551145</c:v>
                </c:pt>
                <c:pt idx="53">
                  <c:v>967.34219161864712</c:v>
                </c:pt>
                <c:pt idx="54">
                  <c:v>881.66995692748242</c:v>
                </c:pt>
                <c:pt idx="55">
                  <c:v>794.61619050426884</c:v>
                </c:pt>
                <c:pt idx="56">
                  <c:v>707.13838332780415</c:v>
                </c:pt>
                <c:pt idx="57">
                  <c:v>621.5770070799739</c:v>
                </c:pt>
                <c:pt idx="58">
                  <c:v>541.6471556779386</c:v>
                </c:pt>
                <c:pt idx="59">
                  <c:v>471.48747941848745</c:v>
                </c:pt>
                <c:pt idx="60">
                  <c:v>414.18677249256882</c:v>
                </c:pt>
                <c:pt idx="61">
                  <c:v>371.1675853381156</c:v>
                </c:pt>
                <c:pt idx="62">
                  <c:v>342.99793178587242</c:v>
                </c:pt>
                <c:pt idx="63">
                  <c:v>2287.320884899852</c:v>
                </c:pt>
                <c:pt idx="64">
                  <c:v>2034.9943931975683</c:v>
                </c:pt>
                <c:pt idx="65">
                  <c:v>1855.0928507779408</c:v>
                </c:pt>
                <c:pt idx="66">
                  <c:v>1714.3055271760727</c:v>
                </c:pt>
                <c:pt idx="67">
                  <c:v>1596.5678708716796</c:v>
                </c:pt>
                <c:pt idx="68">
                  <c:v>1493.1751545738705</c:v>
                </c:pt>
                <c:pt idx="69">
                  <c:v>1398.9214510910126</c:v>
                </c:pt>
                <c:pt idx="70">
                  <c:v>1310.4209856576126</c:v>
                </c:pt>
                <c:pt idx="71">
                  <c:v>1225.3048858086736</c:v>
                </c:pt>
                <c:pt idx="72">
                  <c:v>1141.8141053550548</c:v>
                </c:pt>
                <c:pt idx="73">
                  <c:v>1058.5969303864447</c:v>
                </c:pt>
                <c:pt idx="74">
                  <c:v>974.64174721700442</c:v>
                </c:pt>
                <c:pt idx="75">
                  <c:v>889.33754312067083</c:v>
                </c:pt>
                <c:pt idx="76">
                  <c:v>802.68700167696454</c:v>
                </c:pt>
                <c:pt idx="77">
                  <c:v>715.68605129047432</c:v>
                </c:pt>
                <c:pt idx="78">
                  <c:v>630.73697432812173</c:v>
                </c:pt>
                <c:pt idx="79">
                  <c:v>551.64392156518568</c:v>
                </c:pt>
                <c:pt idx="80">
                  <c:v>482.65676140908715</c:v>
                </c:pt>
                <c:pt idx="81">
                  <c:v>426.9905731487865</c:v>
                </c:pt>
                <c:pt idx="82">
                  <c:v>386.22146643815938</c:v>
                </c:pt>
                <c:pt idx="83">
                  <c:v>361.14581937206606</c:v>
                </c:pt>
                <c:pt idx="84">
                  <c:v>2289.2411295878919</c:v>
                </c:pt>
                <c:pt idx="85">
                  <c:v>2037.7037940229061</c:v>
                </c:pt>
                <c:pt idx="86">
                  <c:v>1858.4833368598402</c:v>
                </c:pt>
                <c:pt idx="87">
                  <c:v>1718.2905265278384</c:v>
                </c:pt>
                <c:pt idx="88">
                  <c:v>1601.0810514665659</c:v>
                </c:pt>
                <c:pt idx="89">
                  <c:v>1498.1656910238005</c:v>
                </c:pt>
                <c:pt idx="90">
                  <c:v>1404.3500439441641</c:v>
                </c:pt>
                <c:pt idx="91">
                  <c:v>1316.2570935569595</c:v>
                </c:pt>
                <c:pt idx="92">
                  <c:v>1231.5250473006597</c:v>
                </c:pt>
                <c:pt idx="93">
                  <c:v>1148.4012638800625</c:v>
                </c:pt>
                <c:pt idx="94">
                  <c:v>1065.5409008177749</c:v>
                </c:pt>
                <c:pt idx="95">
                  <c:v>981.9413028153615</c:v>
                </c:pt>
                <c:pt idx="96">
                  <c:v>897.00512931385924</c:v>
                </c:pt>
                <c:pt idx="97">
                  <c:v>810.75781284966035</c:v>
                </c:pt>
                <c:pt idx="98">
                  <c:v>724.23371925314461</c:v>
                </c:pt>
                <c:pt idx="99">
                  <c:v>639.8969415762698</c:v>
                </c:pt>
                <c:pt idx="100">
                  <c:v>561.64068745243264</c:v>
                </c:pt>
                <c:pt idx="101">
                  <c:v>493.82604339968674</c:v>
                </c:pt>
                <c:pt idx="102">
                  <c:v>439.79437380500417</c:v>
                </c:pt>
                <c:pt idx="103">
                  <c:v>401.27534753820305</c:v>
                </c:pt>
                <c:pt idx="104">
                  <c:v>379.29370695825907</c:v>
                </c:pt>
                <c:pt idx="105">
                  <c:v>2291.1613742759323</c:v>
                </c:pt>
                <c:pt idx="106">
                  <c:v>2040.4131948482436</c:v>
                </c:pt>
                <c:pt idx="107">
                  <c:v>1861.8738229417393</c:v>
                </c:pt>
                <c:pt idx="108">
                  <c:v>1722.2755258796042</c:v>
                </c:pt>
                <c:pt idx="109">
                  <c:v>1605.5942320614524</c:v>
                </c:pt>
                <c:pt idx="110">
                  <c:v>1503.1562274737303</c:v>
                </c:pt>
                <c:pt idx="111">
                  <c:v>1409.778636797316</c:v>
                </c:pt>
                <c:pt idx="112">
                  <c:v>1322.0932014563066</c:v>
                </c:pt>
                <c:pt idx="113">
                  <c:v>1237.7452087926461</c:v>
                </c:pt>
                <c:pt idx="114">
                  <c:v>1154.9884224050702</c:v>
                </c:pt>
                <c:pt idx="115">
                  <c:v>1072.484871249105</c:v>
                </c:pt>
                <c:pt idx="116">
                  <c:v>989.24085841371857</c:v>
                </c:pt>
                <c:pt idx="117">
                  <c:v>904.67271550704766</c:v>
                </c:pt>
                <c:pt idx="118">
                  <c:v>818.82862402235617</c:v>
                </c:pt>
                <c:pt idx="119">
                  <c:v>732.78138721581502</c:v>
                </c:pt>
                <c:pt idx="120">
                  <c:v>649.05690882441775</c:v>
                </c:pt>
                <c:pt idx="121">
                  <c:v>571.6374533396795</c:v>
                </c:pt>
                <c:pt idx="122">
                  <c:v>504.99532539028644</c:v>
                </c:pt>
                <c:pt idx="123">
                  <c:v>452.59817446122196</c:v>
                </c:pt>
                <c:pt idx="124">
                  <c:v>416.32922863824649</c:v>
                </c:pt>
                <c:pt idx="125">
                  <c:v>397.44159454445276</c:v>
                </c:pt>
                <c:pt idx="126">
                  <c:v>2293.0816189639722</c:v>
                </c:pt>
                <c:pt idx="127">
                  <c:v>2043.1225956735816</c:v>
                </c:pt>
                <c:pt idx="128">
                  <c:v>1865.2643090236386</c:v>
                </c:pt>
                <c:pt idx="129">
                  <c:v>1726.2605252313704</c:v>
                </c:pt>
                <c:pt idx="130">
                  <c:v>1610.1074126563387</c:v>
                </c:pt>
                <c:pt idx="131">
                  <c:v>1508.14676392366</c:v>
                </c:pt>
                <c:pt idx="132">
                  <c:v>1415.207229650468</c:v>
                </c:pt>
                <c:pt idx="133">
                  <c:v>1327.9293093556537</c:v>
                </c:pt>
                <c:pt idx="134">
                  <c:v>1243.9653702846324</c:v>
                </c:pt>
                <c:pt idx="135">
                  <c:v>1161.5755809300779</c:v>
                </c:pt>
                <c:pt idx="136">
                  <c:v>1079.4288416804354</c:v>
                </c:pt>
                <c:pt idx="137">
                  <c:v>996.54041401207564</c:v>
                </c:pt>
                <c:pt idx="138">
                  <c:v>912.34030170023607</c:v>
                </c:pt>
                <c:pt idx="139">
                  <c:v>826.89943519505198</c:v>
                </c:pt>
                <c:pt idx="140">
                  <c:v>741.32905517848531</c:v>
                </c:pt>
                <c:pt idx="141">
                  <c:v>658.21687607256581</c:v>
                </c:pt>
                <c:pt idx="142">
                  <c:v>581.63421922692646</c:v>
                </c:pt>
                <c:pt idx="143">
                  <c:v>516.1646073808862</c:v>
                </c:pt>
                <c:pt idx="144">
                  <c:v>465.4019751174398</c:v>
                </c:pt>
                <c:pt idx="145">
                  <c:v>431.38310973829016</c:v>
                </c:pt>
                <c:pt idx="146">
                  <c:v>415.58948213064576</c:v>
                </c:pt>
                <c:pt idx="147">
                  <c:v>2295.0018636520126</c:v>
                </c:pt>
                <c:pt idx="148">
                  <c:v>2045.8319964989194</c:v>
                </c:pt>
                <c:pt idx="149">
                  <c:v>1868.6547951055377</c:v>
                </c:pt>
                <c:pt idx="150">
                  <c:v>1730.2455245831361</c:v>
                </c:pt>
                <c:pt idx="151">
                  <c:v>1614.6205932512248</c:v>
                </c:pt>
                <c:pt idx="152">
                  <c:v>1513.1373003735903</c:v>
                </c:pt>
                <c:pt idx="153">
                  <c:v>1420.6358225036197</c:v>
                </c:pt>
                <c:pt idx="154">
                  <c:v>1333.7654172550008</c:v>
                </c:pt>
                <c:pt idx="155">
                  <c:v>1250.1855317766187</c:v>
                </c:pt>
                <c:pt idx="156">
                  <c:v>1168.1627394550856</c:v>
                </c:pt>
                <c:pt idx="157">
                  <c:v>1086.3728121117658</c:v>
                </c:pt>
                <c:pt idx="158">
                  <c:v>1003.8399696104328</c:v>
                </c:pt>
                <c:pt idx="159">
                  <c:v>920.00788789342437</c:v>
                </c:pt>
                <c:pt idx="160">
                  <c:v>834.97024636774756</c:v>
                </c:pt>
                <c:pt idx="161">
                  <c:v>749.87672314115559</c:v>
                </c:pt>
                <c:pt idx="162">
                  <c:v>667.37684332071387</c:v>
                </c:pt>
                <c:pt idx="163">
                  <c:v>591.63098511417343</c:v>
                </c:pt>
                <c:pt idx="164">
                  <c:v>527.33388937148584</c:v>
                </c:pt>
                <c:pt idx="165">
                  <c:v>478.20577577365759</c:v>
                </c:pt>
                <c:pt idx="166">
                  <c:v>446.43699083833377</c:v>
                </c:pt>
                <c:pt idx="167">
                  <c:v>433.7373697168394</c:v>
                </c:pt>
                <c:pt idx="168">
                  <c:v>2296.9221083400525</c:v>
                </c:pt>
                <c:pt idx="169">
                  <c:v>2048.5413973242571</c:v>
                </c:pt>
                <c:pt idx="170">
                  <c:v>1872.045281187437</c:v>
                </c:pt>
                <c:pt idx="171">
                  <c:v>1734.2305239349018</c:v>
                </c:pt>
                <c:pt idx="172">
                  <c:v>1619.1337738461114</c:v>
                </c:pt>
                <c:pt idx="173">
                  <c:v>1518.1278368235203</c:v>
                </c:pt>
                <c:pt idx="174">
                  <c:v>1426.0644153567716</c:v>
                </c:pt>
                <c:pt idx="175">
                  <c:v>1339.6015251543477</c:v>
                </c:pt>
                <c:pt idx="176">
                  <c:v>1256.4056932686051</c:v>
                </c:pt>
                <c:pt idx="177">
                  <c:v>1174.7498979800932</c:v>
                </c:pt>
                <c:pt idx="178">
                  <c:v>1093.3167825430958</c:v>
                </c:pt>
                <c:pt idx="179">
                  <c:v>1011.1395252087899</c:v>
                </c:pt>
                <c:pt idx="180">
                  <c:v>927.67547408661267</c:v>
                </c:pt>
                <c:pt idx="181">
                  <c:v>843.04105754044338</c:v>
                </c:pt>
                <c:pt idx="182">
                  <c:v>758.424391103826</c:v>
                </c:pt>
                <c:pt idx="183">
                  <c:v>676.53681056886182</c:v>
                </c:pt>
                <c:pt idx="184">
                  <c:v>601.62775100142039</c:v>
                </c:pt>
                <c:pt idx="185">
                  <c:v>538.50317136208548</c:v>
                </c:pt>
                <c:pt idx="186">
                  <c:v>491.00957642987527</c:v>
                </c:pt>
                <c:pt idx="187">
                  <c:v>461.49087193837744</c:v>
                </c:pt>
                <c:pt idx="188">
                  <c:v>451.88525730303246</c:v>
                </c:pt>
                <c:pt idx="189">
                  <c:v>2298.8423530280929</c:v>
                </c:pt>
                <c:pt idx="190">
                  <c:v>2051.2507981495951</c:v>
                </c:pt>
                <c:pt idx="191">
                  <c:v>1875.4357672693361</c:v>
                </c:pt>
                <c:pt idx="192">
                  <c:v>1738.2155232866676</c:v>
                </c:pt>
                <c:pt idx="193">
                  <c:v>1623.6469544409977</c:v>
                </c:pt>
                <c:pt idx="194">
                  <c:v>1523.1183732734501</c:v>
                </c:pt>
                <c:pt idx="195">
                  <c:v>1431.4930082099236</c:v>
                </c:pt>
                <c:pt idx="196">
                  <c:v>1345.437633053695</c:v>
                </c:pt>
                <c:pt idx="197">
                  <c:v>1262.6258547605914</c:v>
                </c:pt>
                <c:pt idx="198">
                  <c:v>1181.3370565051009</c:v>
                </c:pt>
                <c:pt idx="199">
                  <c:v>1100.2607529744262</c:v>
                </c:pt>
                <c:pt idx="200">
                  <c:v>1018.439080807147</c:v>
                </c:pt>
                <c:pt idx="201">
                  <c:v>935.34306027980097</c:v>
                </c:pt>
                <c:pt idx="202">
                  <c:v>851.11186871313907</c:v>
                </c:pt>
                <c:pt idx="203">
                  <c:v>766.97205906649617</c:v>
                </c:pt>
                <c:pt idx="204">
                  <c:v>685.69677781700989</c:v>
                </c:pt>
                <c:pt idx="205">
                  <c:v>611.62451688866736</c:v>
                </c:pt>
                <c:pt idx="206">
                  <c:v>549.67245335268512</c:v>
                </c:pt>
                <c:pt idx="207">
                  <c:v>503.81337708609294</c:v>
                </c:pt>
                <c:pt idx="208">
                  <c:v>476.54475303842105</c:v>
                </c:pt>
                <c:pt idx="209">
                  <c:v>470.03314488922581</c:v>
                </c:pt>
                <c:pt idx="210">
                  <c:v>2300.7625977161329</c:v>
                </c:pt>
                <c:pt idx="211">
                  <c:v>2053.9601989749326</c:v>
                </c:pt>
                <c:pt idx="212">
                  <c:v>1878.8262533512357</c:v>
                </c:pt>
                <c:pt idx="213">
                  <c:v>1742.2005226384335</c:v>
                </c:pt>
                <c:pt idx="214">
                  <c:v>1628.160135035884</c:v>
                </c:pt>
                <c:pt idx="215">
                  <c:v>1528.1089097233798</c:v>
                </c:pt>
                <c:pt idx="216">
                  <c:v>1436.9216010630753</c:v>
                </c:pt>
                <c:pt idx="217">
                  <c:v>1351.2737409530419</c:v>
                </c:pt>
                <c:pt idx="218">
                  <c:v>1268.8460162525776</c:v>
                </c:pt>
                <c:pt idx="219">
                  <c:v>1187.9242150301086</c:v>
                </c:pt>
                <c:pt idx="220">
                  <c:v>1107.2047234057563</c:v>
                </c:pt>
                <c:pt idx="221">
                  <c:v>1025.7386364055042</c:v>
                </c:pt>
                <c:pt idx="222">
                  <c:v>943.01064647298938</c:v>
                </c:pt>
                <c:pt idx="223">
                  <c:v>859.18267988583489</c:v>
                </c:pt>
                <c:pt idx="224">
                  <c:v>775.51972702916669</c:v>
                </c:pt>
                <c:pt idx="225">
                  <c:v>694.85674506515772</c:v>
                </c:pt>
                <c:pt idx="226">
                  <c:v>621.62128277591432</c:v>
                </c:pt>
                <c:pt idx="227">
                  <c:v>560.84173534328488</c:v>
                </c:pt>
                <c:pt idx="228">
                  <c:v>516.61717774231067</c:v>
                </c:pt>
                <c:pt idx="229">
                  <c:v>491.59863413846455</c:v>
                </c:pt>
                <c:pt idx="230">
                  <c:v>488.18103247541916</c:v>
                </c:pt>
                <c:pt idx="231">
                  <c:v>2302.6828424041732</c:v>
                </c:pt>
                <c:pt idx="232">
                  <c:v>2056.6695998002706</c:v>
                </c:pt>
                <c:pt idx="233">
                  <c:v>1882.216739433135</c:v>
                </c:pt>
                <c:pt idx="234">
                  <c:v>1746.1855219901993</c:v>
                </c:pt>
                <c:pt idx="235">
                  <c:v>1632.6733156307705</c:v>
                </c:pt>
                <c:pt idx="236">
                  <c:v>1533.0994461733098</c:v>
                </c:pt>
                <c:pt idx="237">
                  <c:v>1442.350193916227</c:v>
                </c:pt>
                <c:pt idx="238">
                  <c:v>1357.1098488523887</c:v>
                </c:pt>
                <c:pt idx="239">
                  <c:v>1275.0661777445639</c:v>
                </c:pt>
                <c:pt idx="240">
                  <c:v>1194.5113735551163</c:v>
                </c:pt>
                <c:pt idx="241">
                  <c:v>1114.1486938370867</c:v>
                </c:pt>
                <c:pt idx="242">
                  <c:v>1033.0381920038612</c:v>
                </c:pt>
                <c:pt idx="243">
                  <c:v>950.67823266617802</c:v>
                </c:pt>
                <c:pt idx="244">
                  <c:v>867.2534910585307</c:v>
                </c:pt>
                <c:pt idx="245">
                  <c:v>784.06739499183686</c:v>
                </c:pt>
                <c:pt idx="246">
                  <c:v>704.01671231330579</c:v>
                </c:pt>
                <c:pt idx="247">
                  <c:v>631.61804866316129</c:v>
                </c:pt>
                <c:pt idx="248">
                  <c:v>572.01101733388441</c:v>
                </c:pt>
                <c:pt idx="249">
                  <c:v>529.42097839852852</c:v>
                </c:pt>
                <c:pt idx="250">
                  <c:v>506.65251523850833</c:v>
                </c:pt>
                <c:pt idx="251">
                  <c:v>506.32892006161251</c:v>
                </c:pt>
                <c:pt idx="252">
                  <c:v>2304.6030870922136</c:v>
                </c:pt>
                <c:pt idx="253">
                  <c:v>2059.3790006256081</c:v>
                </c:pt>
                <c:pt idx="254">
                  <c:v>1885.6072255150341</c:v>
                </c:pt>
                <c:pt idx="255">
                  <c:v>1750.170521341965</c:v>
                </c:pt>
                <c:pt idx="256">
                  <c:v>1637.1864962256566</c:v>
                </c:pt>
                <c:pt idx="257">
                  <c:v>1538.0899826232396</c:v>
                </c:pt>
                <c:pt idx="258">
                  <c:v>1447.7787867693789</c:v>
                </c:pt>
                <c:pt idx="259">
                  <c:v>1362.945956751736</c:v>
                </c:pt>
                <c:pt idx="260">
                  <c:v>1281.2863392365502</c:v>
                </c:pt>
                <c:pt idx="261">
                  <c:v>1201.098532080124</c:v>
                </c:pt>
                <c:pt idx="262">
                  <c:v>1121.0926642684171</c:v>
                </c:pt>
                <c:pt idx="263">
                  <c:v>1040.3377476022183</c:v>
                </c:pt>
                <c:pt idx="264">
                  <c:v>958.34581885936632</c:v>
                </c:pt>
                <c:pt idx="265">
                  <c:v>875.32430223122651</c:v>
                </c:pt>
                <c:pt idx="266">
                  <c:v>792.61506295450738</c:v>
                </c:pt>
                <c:pt idx="267">
                  <c:v>713.17667956145362</c:v>
                </c:pt>
                <c:pt idx="268">
                  <c:v>641.61481455040825</c:v>
                </c:pt>
                <c:pt idx="269">
                  <c:v>583.18029932448417</c:v>
                </c:pt>
                <c:pt idx="270">
                  <c:v>542.22477905474636</c:v>
                </c:pt>
                <c:pt idx="271">
                  <c:v>521.70639633855183</c:v>
                </c:pt>
                <c:pt idx="272">
                  <c:v>524.4768076478058</c:v>
                </c:pt>
                <c:pt idx="273">
                  <c:v>2306.5233317802536</c:v>
                </c:pt>
                <c:pt idx="274">
                  <c:v>2062.0884014509461</c:v>
                </c:pt>
                <c:pt idx="275">
                  <c:v>1888.9977115969334</c:v>
                </c:pt>
                <c:pt idx="276">
                  <c:v>1754.1555206937308</c:v>
                </c:pt>
                <c:pt idx="277">
                  <c:v>1641.6996768205429</c:v>
                </c:pt>
                <c:pt idx="278">
                  <c:v>1543.0805190731699</c:v>
                </c:pt>
                <c:pt idx="279">
                  <c:v>1453.2073796225309</c:v>
                </c:pt>
                <c:pt idx="280">
                  <c:v>1368.7820646510829</c:v>
                </c:pt>
                <c:pt idx="281">
                  <c:v>1287.5065007285366</c:v>
                </c:pt>
                <c:pt idx="282">
                  <c:v>1207.6856906051319</c:v>
                </c:pt>
                <c:pt idx="283">
                  <c:v>1128.0366346997471</c:v>
                </c:pt>
                <c:pt idx="284">
                  <c:v>1047.6373032005754</c:v>
                </c:pt>
                <c:pt idx="285">
                  <c:v>966.01340505255462</c:v>
                </c:pt>
                <c:pt idx="286">
                  <c:v>883.39511340392221</c:v>
                </c:pt>
                <c:pt idx="287">
                  <c:v>801.16273091717756</c:v>
                </c:pt>
                <c:pt idx="288">
                  <c:v>722.33664680960169</c:v>
                </c:pt>
                <c:pt idx="289">
                  <c:v>651.61158043765522</c:v>
                </c:pt>
                <c:pt idx="290">
                  <c:v>594.34958131508392</c:v>
                </c:pt>
                <c:pt idx="291">
                  <c:v>555.02857971096398</c:v>
                </c:pt>
                <c:pt idx="292">
                  <c:v>536.76027743859527</c:v>
                </c:pt>
                <c:pt idx="293">
                  <c:v>542.6246952339992</c:v>
                </c:pt>
                <c:pt idx="294">
                  <c:v>2308.4435764682939</c:v>
                </c:pt>
                <c:pt idx="295">
                  <c:v>2064.7978022762841</c:v>
                </c:pt>
                <c:pt idx="296">
                  <c:v>1892.3881976788325</c:v>
                </c:pt>
                <c:pt idx="297">
                  <c:v>1758.1405200454967</c:v>
                </c:pt>
                <c:pt idx="298">
                  <c:v>1646.2128574154294</c:v>
                </c:pt>
                <c:pt idx="299">
                  <c:v>1548.0710555230996</c:v>
                </c:pt>
                <c:pt idx="300">
                  <c:v>1458.6359724756828</c:v>
                </c:pt>
                <c:pt idx="301">
                  <c:v>1374.6181725504298</c:v>
                </c:pt>
                <c:pt idx="302">
                  <c:v>1293.7266622205229</c:v>
                </c:pt>
                <c:pt idx="303">
                  <c:v>1214.2728491301393</c:v>
                </c:pt>
                <c:pt idx="304">
                  <c:v>1134.9806051310775</c:v>
                </c:pt>
                <c:pt idx="305">
                  <c:v>1054.9368587989325</c:v>
                </c:pt>
                <c:pt idx="306">
                  <c:v>973.68099124574292</c:v>
                </c:pt>
                <c:pt idx="307">
                  <c:v>891.46592457661791</c:v>
                </c:pt>
                <c:pt idx="308">
                  <c:v>809.71039887984784</c:v>
                </c:pt>
                <c:pt idx="309">
                  <c:v>731.49661405774964</c:v>
                </c:pt>
                <c:pt idx="310">
                  <c:v>661.60834632490219</c:v>
                </c:pt>
                <c:pt idx="311">
                  <c:v>605.51886330568357</c:v>
                </c:pt>
                <c:pt idx="312">
                  <c:v>567.83238036718171</c:v>
                </c:pt>
                <c:pt idx="313">
                  <c:v>551.81415853863905</c:v>
                </c:pt>
                <c:pt idx="314">
                  <c:v>560.7725828201925</c:v>
                </c:pt>
                <c:pt idx="315">
                  <c:v>2310.3638211563339</c:v>
                </c:pt>
                <c:pt idx="316">
                  <c:v>2067.5072031016216</c:v>
                </c:pt>
                <c:pt idx="317">
                  <c:v>1895.7786837607321</c:v>
                </c:pt>
                <c:pt idx="318">
                  <c:v>1762.1255193972625</c:v>
                </c:pt>
                <c:pt idx="319">
                  <c:v>1650.7260380103157</c:v>
                </c:pt>
                <c:pt idx="320">
                  <c:v>1553.0615919730296</c:v>
                </c:pt>
                <c:pt idx="321">
                  <c:v>1464.0645653288345</c:v>
                </c:pt>
                <c:pt idx="322">
                  <c:v>1380.4542804497771</c:v>
                </c:pt>
                <c:pt idx="323">
                  <c:v>1299.9468237125091</c:v>
                </c:pt>
                <c:pt idx="324">
                  <c:v>1220.860007655147</c:v>
                </c:pt>
                <c:pt idx="325">
                  <c:v>1141.9245755624077</c:v>
                </c:pt>
                <c:pt idx="326">
                  <c:v>1062.2364143972898</c:v>
                </c:pt>
                <c:pt idx="327">
                  <c:v>981.34857743893133</c:v>
                </c:pt>
                <c:pt idx="328">
                  <c:v>899.53673574931361</c:v>
                </c:pt>
                <c:pt idx="329">
                  <c:v>818.25806684251813</c:v>
                </c:pt>
                <c:pt idx="330">
                  <c:v>740.6565813058977</c:v>
                </c:pt>
                <c:pt idx="331">
                  <c:v>671.60511221214915</c:v>
                </c:pt>
                <c:pt idx="332">
                  <c:v>616.68814529628321</c:v>
                </c:pt>
                <c:pt idx="333">
                  <c:v>580.63618102339944</c:v>
                </c:pt>
                <c:pt idx="334">
                  <c:v>566.8680396386826</c:v>
                </c:pt>
                <c:pt idx="335">
                  <c:v>578.9204704063859</c:v>
                </c:pt>
                <c:pt idx="336">
                  <c:v>2312.2840658443743</c:v>
                </c:pt>
                <c:pt idx="337">
                  <c:v>2070.2166039269596</c:v>
                </c:pt>
                <c:pt idx="338">
                  <c:v>1899.1691698426312</c:v>
                </c:pt>
                <c:pt idx="339">
                  <c:v>1766.1105187490282</c:v>
                </c:pt>
                <c:pt idx="340">
                  <c:v>1655.2392186052018</c:v>
                </c:pt>
                <c:pt idx="341">
                  <c:v>1558.0521284229594</c:v>
                </c:pt>
                <c:pt idx="342">
                  <c:v>1469.4931581819862</c:v>
                </c:pt>
                <c:pt idx="343">
                  <c:v>1386.290388349124</c:v>
                </c:pt>
                <c:pt idx="344">
                  <c:v>1306.1669852044954</c:v>
                </c:pt>
                <c:pt idx="345">
                  <c:v>1227.4471661801549</c:v>
                </c:pt>
                <c:pt idx="346">
                  <c:v>1148.8685459937378</c:v>
                </c:pt>
                <c:pt idx="347">
                  <c:v>1069.5359699956468</c:v>
                </c:pt>
                <c:pt idx="348">
                  <c:v>989.01616363211963</c:v>
                </c:pt>
                <c:pt idx="349">
                  <c:v>907.60754692200942</c:v>
                </c:pt>
                <c:pt idx="350">
                  <c:v>826.80573480518854</c:v>
                </c:pt>
                <c:pt idx="351">
                  <c:v>749.81654855404577</c:v>
                </c:pt>
                <c:pt idx="352">
                  <c:v>681.60187809939612</c:v>
                </c:pt>
                <c:pt idx="353">
                  <c:v>627.85742728688285</c:v>
                </c:pt>
                <c:pt idx="354">
                  <c:v>593.43998167961729</c:v>
                </c:pt>
                <c:pt idx="355">
                  <c:v>581.92192073872604</c:v>
                </c:pt>
                <c:pt idx="356">
                  <c:v>597.06835799257954</c:v>
                </c:pt>
                <c:pt idx="357">
                  <c:v>2314.2043105324142</c:v>
                </c:pt>
                <c:pt idx="358">
                  <c:v>2072.9260047522971</c:v>
                </c:pt>
                <c:pt idx="359">
                  <c:v>1902.5596559245305</c:v>
                </c:pt>
                <c:pt idx="360">
                  <c:v>1770.0955181007939</c:v>
                </c:pt>
                <c:pt idx="361">
                  <c:v>1659.7523992000883</c:v>
                </c:pt>
                <c:pt idx="362">
                  <c:v>1563.0426648728894</c:v>
                </c:pt>
                <c:pt idx="363">
                  <c:v>1474.9217510351382</c:v>
                </c:pt>
                <c:pt idx="364">
                  <c:v>1392.1264962484709</c:v>
                </c:pt>
                <c:pt idx="365">
                  <c:v>1312.3871466964818</c:v>
                </c:pt>
                <c:pt idx="366">
                  <c:v>1234.0343247051624</c:v>
                </c:pt>
                <c:pt idx="367">
                  <c:v>1155.8125164250682</c:v>
                </c:pt>
                <c:pt idx="368">
                  <c:v>1076.8355255940039</c:v>
                </c:pt>
                <c:pt idx="369">
                  <c:v>996.68374982530793</c:v>
                </c:pt>
                <c:pt idx="370">
                  <c:v>915.678358094705</c:v>
                </c:pt>
                <c:pt idx="371">
                  <c:v>835.35340276785882</c:v>
                </c:pt>
                <c:pt idx="372">
                  <c:v>758.97651580219372</c:v>
                </c:pt>
                <c:pt idx="373">
                  <c:v>691.59864398664297</c:v>
                </c:pt>
                <c:pt idx="374">
                  <c:v>639.02670927748261</c:v>
                </c:pt>
                <c:pt idx="375">
                  <c:v>606.24378233583514</c:v>
                </c:pt>
                <c:pt idx="376">
                  <c:v>596.97580183876983</c:v>
                </c:pt>
                <c:pt idx="377">
                  <c:v>615.2162455787726</c:v>
                </c:pt>
                <c:pt idx="378">
                  <c:v>2316.1245552204546</c:v>
                </c:pt>
                <c:pt idx="379">
                  <c:v>2075.6354055776351</c:v>
                </c:pt>
                <c:pt idx="380">
                  <c:v>1905.9501420064296</c:v>
                </c:pt>
                <c:pt idx="381">
                  <c:v>1774.0805174525599</c:v>
                </c:pt>
                <c:pt idx="382">
                  <c:v>1664.2655797949747</c:v>
                </c:pt>
                <c:pt idx="383">
                  <c:v>1568.0332013228192</c:v>
                </c:pt>
                <c:pt idx="384">
                  <c:v>1480.3503438882899</c:v>
                </c:pt>
                <c:pt idx="385">
                  <c:v>1397.962604147818</c:v>
                </c:pt>
                <c:pt idx="386">
                  <c:v>1318.6073081884679</c:v>
                </c:pt>
                <c:pt idx="387">
                  <c:v>1240.6214832301703</c:v>
                </c:pt>
                <c:pt idx="388">
                  <c:v>1162.7564868563984</c:v>
                </c:pt>
                <c:pt idx="389">
                  <c:v>1084.135081192361</c:v>
                </c:pt>
                <c:pt idx="390">
                  <c:v>1004.3513360184966</c:v>
                </c:pt>
                <c:pt idx="391">
                  <c:v>923.74916926740082</c:v>
                </c:pt>
                <c:pt idx="392">
                  <c:v>843.90107073052923</c:v>
                </c:pt>
                <c:pt idx="393">
                  <c:v>768.13648305034167</c:v>
                </c:pt>
                <c:pt idx="394">
                  <c:v>701.59540987388993</c:v>
                </c:pt>
                <c:pt idx="395">
                  <c:v>650.19599126808237</c:v>
                </c:pt>
                <c:pt idx="396">
                  <c:v>619.04758299205275</c:v>
                </c:pt>
                <c:pt idx="397">
                  <c:v>612.02968293881327</c:v>
                </c:pt>
                <c:pt idx="398">
                  <c:v>633.36413316496623</c:v>
                </c:pt>
                <c:pt idx="399">
                  <c:v>2318.0447999084945</c:v>
                </c:pt>
                <c:pt idx="400">
                  <c:v>2078.3448064029726</c:v>
                </c:pt>
                <c:pt idx="401">
                  <c:v>1909.3406280883289</c:v>
                </c:pt>
                <c:pt idx="402">
                  <c:v>1778.0655168043256</c:v>
                </c:pt>
                <c:pt idx="403">
                  <c:v>1668.7787603898612</c:v>
                </c:pt>
                <c:pt idx="404">
                  <c:v>1573.0237377727492</c:v>
                </c:pt>
                <c:pt idx="405">
                  <c:v>1485.7789367414418</c:v>
                </c:pt>
                <c:pt idx="406">
                  <c:v>1403.7987120471651</c:v>
                </c:pt>
                <c:pt idx="407">
                  <c:v>1324.8274696804542</c:v>
                </c:pt>
                <c:pt idx="408">
                  <c:v>1247.208641755178</c:v>
                </c:pt>
                <c:pt idx="409">
                  <c:v>1169.7004572877288</c:v>
                </c:pt>
                <c:pt idx="410">
                  <c:v>1091.4346367907181</c:v>
                </c:pt>
                <c:pt idx="411">
                  <c:v>1012.0189222116849</c:v>
                </c:pt>
                <c:pt idx="412">
                  <c:v>931.81998044009674</c:v>
                </c:pt>
                <c:pt idx="413">
                  <c:v>852.44873869319952</c:v>
                </c:pt>
                <c:pt idx="414">
                  <c:v>777.29645029848962</c:v>
                </c:pt>
                <c:pt idx="415">
                  <c:v>711.5921757611369</c:v>
                </c:pt>
                <c:pt idx="416">
                  <c:v>661.36527325868178</c:v>
                </c:pt>
                <c:pt idx="417">
                  <c:v>631.85138364827037</c:v>
                </c:pt>
                <c:pt idx="418">
                  <c:v>627.08356403885705</c:v>
                </c:pt>
                <c:pt idx="419">
                  <c:v>651.5120207511593</c:v>
                </c:pt>
                <c:pt idx="420">
                  <c:v>2319.9650445965353</c:v>
                </c:pt>
                <c:pt idx="421">
                  <c:v>2081.0542072283106</c:v>
                </c:pt>
                <c:pt idx="422">
                  <c:v>1912.731114170228</c:v>
                </c:pt>
                <c:pt idx="423">
                  <c:v>1782.0505161560914</c:v>
                </c:pt>
                <c:pt idx="424">
                  <c:v>1673.2919409847473</c:v>
                </c:pt>
                <c:pt idx="425">
                  <c:v>1578.014274222679</c:v>
                </c:pt>
                <c:pt idx="426">
                  <c:v>1491.2075295945938</c:v>
                </c:pt>
                <c:pt idx="427">
                  <c:v>1409.6348199465122</c:v>
                </c:pt>
                <c:pt idx="428">
                  <c:v>1331.0476311724406</c:v>
                </c:pt>
                <c:pt idx="429">
                  <c:v>1253.7958002801854</c:v>
                </c:pt>
                <c:pt idx="430">
                  <c:v>1176.644427719059</c:v>
                </c:pt>
                <c:pt idx="431">
                  <c:v>1098.7341923890751</c:v>
                </c:pt>
                <c:pt idx="432">
                  <c:v>1019.6865084048733</c:v>
                </c:pt>
                <c:pt idx="433">
                  <c:v>939.89079161279244</c:v>
                </c:pt>
                <c:pt idx="434">
                  <c:v>860.99640665586992</c:v>
                </c:pt>
                <c:pt idx="435">
                  <c:v>786.45641754663768</c:v>
                </c:pt>
                <c:pt idx="436">
                  <c:v>721.58894164838387</c:v>
                </c:pt>
                <c:pt idx="437">
                  <c:v>672.53455524928142</c:v>
                </c:pt>
                <c:pt idx="438">
                  <c:v>644.65518430448822</c:v>
                </c:pt>
                <c:pt idx="439">
                  <c:v>642.1374451389006</c:v>
                </c:pt>
                <c:pt idx="440">
                  <c:v>669.65990833735259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2C-44C0-B954-B94537009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038719"/>
        <c:axId val="1482807663"/>
      </c:scatterChart>
      <c:valAx>
        <c:axId val="138003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Temperauture</a:t>
                </a:r>
                <a:r>
                  <a:rPr lang="en-CA" sz="1500" baseline="0"/>
                  <a:t> (K) </a:t>
                </a:r>
                <a:endParaRPr lang="en-CA" sz="15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807663"/>
        <c:crosses val="autoZero"/>
        <c:crossBetween val="midCat"/>
      </c:valAx>
      <c:valAx>
        <c:axId val="148280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Qr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038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optimization!$C$12</c:f>
              <c:strCache>
                <c:ptCount val="1"/>
                <c:pt idx="0">
                  <c:v>1.2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optimization!$B$11:$B$20000</c:f>
              <c:numCache>
                <c:formatCode>General</c:formatCode>
                <c:ptCount val="19990"/>
                <c:pt idx="0">
                  <c:v>341.48</c:v>
                </c:pt>
                <c:pt idx="1">
                  <c:v>343.25</c:v>
                </c:pt>
                <c:pt idx="2">
                  <c:v>345.02</c:v>
                </c:pt>
                <c:pt idx="3">
                  <c:v>346.78999999999996</c:v>
                </c:pt>
                <c:pt idx="4">
                  <c:v>348.55999999999995</c:v>
                </c:pt>
                <c:pt idx="5">
                  <c:v>350.32999999999993</c:v>
                </c:pt>
                <c:pt idx="6">
                  <c:v>352.09999999999991</c:v>
                </c:pt>
                <c:pt idx="7">
                  <c:v>353.86999999999989</c:v>
                </c:pt>
                <c:pt idx="8">
                  <c:v>355.63999999999987</c:v>
                </c:pt>
                <c:pt idx="9">
                  <c:v>357.40999999999985</c:v>
                </c:pt>
                <c:pt idx="10">
                  <c:v>359.17999999999984</c:v>
                </c:pt>
                <c:pt idx="11">
                  <c:v>360.94999999999982</c:v>
                </c:pt>
                <c:pt idx="12">
                  <c:v>362.7199999999998</c:v>
                </c:pt>
                <c:pt idx="13">
                  <c:v>364.48999999999978</c:v>
                </c:pt>
                <c:pt idx="14">
                  <c:v>366.25999999999976</c:v>
                </c:pt>
                <c:pt idx="15">
                  <c:v>368.02999999999975</c:v>
                </c:pt>
                <c:pt idx="16">
                  <c:v>369.79999999999973</c:v>
                </c:pt>
                <c:pt idx="17">
                  <c:v>371.56999999999971</c:v>
                </c:pt>
                <c:pt idx="18">
                  <c:v>373.33999999999969</c:v>
                </c:pt>
                <c:pt idx="19">
                  <c:v>375.10999999999967</c:v>
                </c:pt>
                <c:pt idx="20">
                  <c:v>376.87999999999965</c:v>
                </c:pt>
                <c:pt idx="21">
                  <c:v>341.48</c:v>
                </c:pt>
                <c:pt idx="22">
                  <c:v>343.25</c:v>
                </c:pt>
                <c:pt idx="23">
                  <c:v>345.02</c:v>
                </c:pt>
                <c:pt idx="24">
                  <c:v>346.78999999999996</c:v>
                </c:pt>
                <c:pt idx="25">
                  <c:v>348.55999999999995</c:v>
                </c:pt>
                <c:pt idx="26">
                  <c:v>350.32999999999993</c:v>
                </c:pt>
                <c:pt idx="27">
                  <c:v>352.09999999999991</c:v>
                </c:pt>
                <c:pt idx="28">
                  <c:v>353.86999999999989</c:v>
                </c:pt>
                <c:pt idx="29">
                  <c:v>355.63999999999987</c:v>
                </c:pt>
                <c:pt idx="30">
                  <c:v>357.40999999999985</c:v>
                </c:pt>
                <c:pt idx="31">
                  <c:v>359.17999999999984</c:v>
                </c:pt>
                <c:pt idx="32">
                  <c:v>360.94999999999982</c:v>
                </c:pt>
                <c:pt idx="33">
                  <c:v>362.7199999999998</c:v>
                </c:pt>
                <c:pt idx="34">
                  <c:v>364.48999999999978</c:v>
                </c:pt>
                <c:pt idx="35">
                  <c:v>366.25999999999976</c:v>
                </c:pt>
                <c:pt idx="36">
                  <c:v>368.02999999999975</c:v>
                </c:pt>
                <c:pt idx="37">
                  <c:v>369.79999999999973</c:v>
                </c:pt>
                <c:pt idx="38">
                  <c:v>371.56999999999971</c:v>
                </c:pt>
                <c:pt idx="39">
                  <c:v>373.33999999999969</c:v>
                </c:pt>
                <c:pt idx="40">
                  <c:v>375.10999999999967</c:v>
                </c:pt>
                <c:pt idx="41">
                  <c:v>376.87999999999965</c:v>
                </c:pt>
                <c:pt idx="42">
                  <c:v>341.48</c:v>
                </c:pt>
                <c:pt idx="43">
                  <c:v>343.25</c:v>
                </c:pt>
                <c:pt idx="44">
                  <c:v>345.02</c:v>
                </c:pt>
                <c:pt idx="45">
                  <c:v>346.78999999999996</c:v>
                </c:pt>
                <c:pt idx="46">
                  <c:v>348.55999999999995</c:v>
                </c:pt>
                <c:pt idx="47">
                  <c:v>350.32999999999993</c:v>
                </c:pt>
                <c:pt idx="48">
                  <c:v>352.09999999999991</c:v>
                </c:pt>
                <c:pt idx="49">
                  <c:v>353.86999999999989</c:v>
                </c:pt>
                <c:pt idx="50">
                  <c:v>355.63999999999987</c:v>
                </c:pt>
                <c:pt idx="51">
                  <c:v>357.40999999999985</c:v>
                </c:pt>
                <c:pt idx="52">
                  <c:v>359.17999999999984</c:v>
                </c:pt>
                <c:pt idx="53">
                  <c:v>360.94999999999982</c:v>
                </c:pt>
                <c:pt idx="54">
                  <c:v>362.7199999999998</c:v>
                </c:pt>
                <c:pt idx="55">
                  <c:v>364.48999999999978</c:v>
                </c:pt>
                <c:pt idx="56">
                  <c:v>366.25999999999976</c:v>
                </c:pt>
                <c:pt idx="57">
                  <c:v>368.02999999999975</c:v>
                </c:pt>
                <c:pt idx="58">
                  <c:v>369.79999999999973</c:v>
                </c:pt>
                <c:pt idx="59">
                  <c:v>371.56999999999971</c:v>
                </c:pt>
                <c:pt idx="60">
                  <c:v>373.33999999999969</c:v>
                </c:pt>
                <c:pt idx="61">
                  <c:v>375.10999999999967</c:v>
                </c:pt>
                <c:pt idx="62">
                  <c:v>376.87999999999965</c:v>
                </c:pt>
                <c:pt idx="63">
                  <c:v>341.48</c:v>
                </c:pt>
                <c:pt idx="64">
                  <c:v>343.25</c:v>
                </c:pt>
                <c:pt idx="65">
                  <c:v>345.02</c:v>
                </c:pt>
                <c:pt idx="66">
                  <c:v>346.78999999999996</c:v>
                </c:pt>
                <c:pt idx="67">
                  <c:v>348.55999999999995</c:v>
                </c:pt>
                <c:pt idx="68">
                  <c:v>350.32999999999993</c:v>
                </c:pt>
                <c:pt idx="69">
                  <c:v>352.09999999999991</c:v>
                </c:pt>
                <c:pt idx="70">
                  <c:v>353.86999999999989</c:v>
                </c:pt>
                <c:pt idx="71">
                  <c:v>355.63999999999987</c:v>
                </c:pt>
                <c:pt idx="72">
                  <c:v>357.40999999999985</c:v>
                </c:pt>
                <c:pt idx="73">
                  <c:v>359.17999999999984</c:v>
                </c:pt>
                <c:pt idx="74">
                  <c:v>360.94999999999982</c:v>
                </c:pt>
                <c:pt idx="75">
                  <c:v>362.7199999999998</c:v>
                </c:pt>
                <c:pt idx="76">
                  <c:v>364.48999999999978</c:v>
                </c:pt>
                <c:pt idx="77">
                  <c:v>366.25999999999976</c:v>
                </c:pt>
                <c:pt idx="78">
                  <c:v>368.02999999999975</c:v>
                </c:pt>
                <c:pt idx="79">
                  <c:v>369.79999999999973</c:v>
                </c:pt>
                <c:pt idx="80">
                  <c:v>371.56999999999971</c:v>
                </c:pt>
                <c:pt idx="81">
                  <c:v>373.33999999999969</c:v>
                </c:pt>
                <c:pt idx="82">
                  <c:v>375.10999999999967</c:v>
                </c:pt>
                <c:pt idx="83">
                  <c:v>376.87999999999965</c:v>
                </c:pt>
                <c:pt idx="84">
                  <c:v>341.48</c:v>
                </c:pt>
                <c:pt idx="85">
                  <c:v>343.25</c:v>
                </c:pt>
                <c:pt idx="86">
                  <c:v>345.02</c:v>
                </c:pt>
                <c:pt idx="87">
                  <c:v>346.78999999999996</c:v>
                </c:pt>
                <c:pt idx="88">
                  <c:v>348.55999999999995</c:v>
                </c:pt>
                <c:pt idx="89">
                  <c:v>350.32999999999993</c:v>
                </c:pt>
                <c:pt idx="90">
                  <c:v>352.09999999999991</c:v>
                </c:pt>
                <c:pt idx="91">
                  <c:v>353.86999999999989</c:v>
                </c:pt>
                <c:pt idx="92">
                  <c:v>355.63999999999987</c:v>
                </c:pt>
                <c:pt idx="93">
                  <c:v>357.40999999999985</c:v>
                </c:pt>
                <c:pt idx="94">
                  <c:v>359.17999999999984</c:v>
                </c:pt>
                <c:pt idx="95">
                  <c:v>360.94999999999982</c:v>
                </c:pt>
                <c:pt idx="96">
                  <c:v>362.7199999999998</c:v>
                </c:pt>
                <c:pt idx="97">
                  <c:v>364.48999999999978</c:v>
                </c:pt>
                <c:pt idx="98">
                  <c:v>366.25999999999976</c:v>
                </c:pt>
                <c:pt idx="99">
                  <c:v>368.02999999999975</c:v>
                </c:pt>
                <c:pt idx="100">
                  <c:v>369.79999999999973</c:v>
                </c:pt>
                <c:pt idx="101">
                  <c:v>371.56999999999971</c:v>
                </c:pt>
                <c:pt idx="102">
                  <c:v>373.33999999999969</c:v>
                </c:pt>
                <c:pt idx="103">
                  <c:v>375.10999999999967</c:v>
                </c:pt>
                <c:pt idx="104">
                  <c:v>376.87999999999965</c:v>
                </c:pt>
                <c:pt idx="105">
                  <c:v>341.48</c:v>
                </c:pt>
                <c:pt idx="106">
                  <c:v>343.25</c:v>
                </c:pt>
                <c:pt idx="107">
                  <c:v>345.02</c:v>
                </c:pt>
                <c:pt idx="108">
                  <c:v>346.78999999999996</c:v>
                </c:pt>
                <c:pt idx="109">
                  <c:v>348.55999999999995</c:v>
                </c:pt>
                <c:pt idx="110">
                  <c:v>350.32999999999993</c:v>
                </c:pt>
                <c:pt idx="111">
                  <c:v>352.09999999999991</c:v>
                </c:pt>
                <c:pt idx="112">
                  <c:v>353.86999999999989</c:v>
                </c:pt>
                <c:pt idx="113">
                  <c:v>355.63999999999987</c:v>
                </c:pt>
                <c:pt idx="114">
                  <c:v>357.40999999999985</c:v>
                </c:pt>
                <c:pt idx="115">
                  <c:v>359.17999999999984</c:v>
                </c:pt>
                <c:pt idx="116">
                  <c:v>360.94999999999982</c:v>
                </c:pt>
                <c:pt idx="117">
                  <c:v>362.7199999999998</c:v>
                </c:pt>
                <c:pt idx="118">
                  <c:v>364.48999999999978</c:v>
                </c:pt>
                <c:pt idx="119">
                  <c:v>366.25999999999976</c:v>
                </c:pt>
                <c:pt idx="120">
                  <c:v>368.02999999999975</c:v>
                </c:pt>
                <c:pt idx="121">
                  <c:v>369.79999999999973</c:v>
                </c:pt>
                <c:pt idx="122">
                  <c:v>371.56999999999971</c:v>
                </c:pt>
                <c:pt idx="123">
                  <c:v>373.33999999999969</c:v>
                </c:pt>
                <c:pt idx="124">
                  <c:v>375.10999999999967</c:v>
                </c:pt>
                <c:pt idx="125">
                  <c:v>376.87999999999965</c:v>
                </c:pt>
                <c:pt idx="126">
                  <c:v>341.48</c:v>
                </c:pt>
                <c:pt idx="127">
                  <c:v>343.25</c:v>
                </c:pt>
                <c:pt idx="128">
                  <c:v>345.02</c:v>
                </c:pt>
                <c:pt idx="129">
                  <c:v>346.78999999999996</c:v>
                </c:pt>
                <c:pt idx="130">
                  <c:v>348.55999999999995</c:v>
                </c:pt>
                <c:pt idx="131">
                  <c:v>350.32999999999993</c:v>
                </c:pt>
                <c:pt idx="132">
                  <c:v>352.09999999999991</c:v>
                </c:pt>
                <c:pt idx="133">
                  <c:v>353.86999999999989</c:v>
                </c:pt>
                <c:pt idx="134">
                  <c:v>355.63999999999987</c:v>
                </c:pt>
                <c:pt idx="135">
                  <c:v>357.40999999999985</c:v>
                </c:pt>
                <c:pt idx="136">
                  <c:v>359.17999999999984</c:v>
                </c:pt>
                <c:pt idx="137">
                  <c:v>360.94999999999982</c:v>
                </c:pt>
                <c:pt idx="138">
                  <c:v>362.7199999999998</c:v>
                </c:pt>
                <c:pt idx="139">
                  <c:v>364.48999999999978</c:v>
                </c:pt>
                <c:pt idx="140">
                  <c:v>366.25999999999976</c:v>
                </c:pt>
                <c:pt idx="141">
                  <c:v>368.02999999999975</c:v>
                </c:pt>
                <c:pt idx="142">
                  <c:v>369.79999999999973</c:v>
                </c:pt>
                <c:pt idx="143">
                  <c:v>371.56999999999971</c:v>
                </c:pt>
                <c:pt idx="144">
                  <c:v>373.33999999999969</c:v>
                </c:pt>
                <c:pt idx="145">
                  <c:v>375.10999999999967</c:v>
                </c:pt>
                <c:pt idx="146">
                  <c:v>376.87999999999965</c:v>
                </c:pt>
                <c:pt idx="147">
                  <c:v>341.48</c:v>
                </c:pt>
                <c:pt idx="148">
                  <c:v>343.25</c:v>
                </c:pt>
                <c:pt idx="149">
                  <c:v>345.02</c:v>
                </c:pt>
                <c:pt idx="150">
                  <c:v>346.78999999999996</c:v>
                </c:pt>
                <c:pt idx="151">
                  <c:v>348.55999999999995</c:v>
                </c:pt>
                <c:pt idx="152">
                  <c:v>350.32999999999993</c:v>
                </c:pt>
                <c:pt idx="153">
                  <c:v>352.09999999999991</c:v>
                </c:pt>
                <c:pt idx="154">
                  <c:v>353.86999999999989</c:v>
                </c:pt>
                <c:pt idx="155">
                  <c:v>355.63999999999987</c:v>
                </c:pt>
                <c:pt idx="156">
                  <c:v>357.40999999999985</c:v>
                </c:pt>
                <c:pt idx="157">
                  <c:v>359.17999999999984</c:v>
                </c:pt>
                <c:pt idx="158">
                  <c:v>360.94999999999982</c:v>
                </c:pt>
                <c:pt idx="159">
                  <c:v>362.7199999999998</c:v>
                </c:pt>
                <c:pt idx="160">
                  <c:v>364.48999999999978</c:v>
                </c:pt>
                <c:pt idx="161">
                  <c:v>366.25999999999976</c:v>
                </c:pt>
                <c:pt idx="162">
                  <c:v>368.02999999999975</c:v>
                </c:pt>
                <c:pt idx="163">
                  <c:v>369.79999999999973</c:v>
                </c:pt>
                <c:pt idx="164">
                  <c:v>371.56999999999971</c:v>
                </c:pt>
                <c:pt idx="165">
                  <c:v>373.33999999999969</c:v>
                </c:pt>
                <c:pt idx="166">
                  <c:v>375.10999999999967</c:v>
                </c:pt>
                <c:pt idx="167">
                  <c:v>376.87999999999965</c:v>
                </c:pt>
                <c:pt idx="168">
                  <c:v>341.48</c:v>
                </c:pt>
                <c:pt idx="169">
                  <c:v>343.25</c:v>
                </c:pt>
                <c:pt idx="170">
                  <c:v>345.02</c:v>
                </c:pt>
                <c:pt idx="171">
                  <c:v>346.78999999999996</c:v>
                </c:pt>
                <c:pt idx="172">
                  <c:v>348.55999999999995</c:v>
                </c:pt>
                <c:pt idx="173">
                  <c:v>350.32999999999993</c:v>
                </c:pt>
                <c:pt idx="174">
                  <c:v>352.09999999999991</c:v>
                </c:pt>
                <c:pt idx="175">
                  <c:v>353.86999999999989</c:v>
                </c:pt>
                <c:pt idx="176">
                  <c:v>355.63999999999987</c:v>
                </c:pt>
                <c:pt idx="177">
                  <c:v>357.40999999999985</c:v>
                </c:pt>
                <c:pt idx="178">
                  <c:v>359.17999999999984</c:v>
                </c:pt>
                <c:pt idx="179">
                  <c:v>360.94999999999982</c:v>
                </c:pt>
                <c:pt idx="180">
                  <c:v>362.7199999999998</c:v>
                </c:pt>
                <c:pt idx="181">
                  <c:v>364.48999999999978</c:v>
                </c:pt>
                <c:pt idx="182">
                  <c:v>366.25999999999976</c:v>
                </c:pt>
                <c:pt idx="183">
                  <c:v>368.02999999999975</c:v>
                </c:pt>
                <c:pt idx="184">
                  <c:v>369.79999999999973</c:v>
                </c:pt>
                <c:pt idx="185">
                  <c:v>371.56999999999971</c:v>
                </c:pt>
                <c:pt idx="186">
                  <c:v>373.33999999999969</c:v>
                </c:pt>
                <c:pt idx="187">
                  <c:v>375.10999999999967</c:v>
                </c:pt>
                <c:pt idx="188">
                  <c:v>376.87999999999965</c:v>
                </c:pt>
                <c:pt idx="189">
                  <c:v>341.48</c:v>
                </c:pt>
                <c:pt idx="190">
                  <c:v>343.25</c:v>
                </c:pt>
                <c:pt idx="191">
                  <c:v>345.02</c:v>
                </c:pt>
                <c:pt idx="192">
                  <c:v>346.78999999999996</c:v>
                </c:pt>
                <c:pt idx="193">
                  <c:v>348.55999999999995</c:v>
                </c:pt>
                <c:pt idx="194">
                  <c:v>350.32999999999993</c:v>
                </c:pt>
                <c:pt idx="195">
                  <c:v>352.09999999999991</c:v>
                </c:pt>
                <c:pt idx="196">
                  <c:v>353.86999999999989</c:v>
                </c:pt>
                <c:pt idx="197">
                  <c:v>355.63999999999987</c:v>
                </c:pt>
                <c:pt idx="198">
                  <c:v>357.40999999999985</c:v>
                </c:pt>
                <c:pt idx="199">
                  <c:v>359.17999999999984</c:v>
                </c:pt>
                <c:pt idx="200">
                  <c:v>360.94999999999982</c:v>
                </c:pt>
                <c:pt idx="201">
                  <c:v>362.7199999999998</c:v>
                </c:pt>
                <c:pt idx="202">
                  <c:v>364.48999999999978</c:v>
                </c:pt>
                <c:pt idx="203">
                  <c:v>366.25999999999976</c:v>
                </c:pt>
                <c:pt idx="204">
                  <c:v>368.02999999999975</c:v>
                </c:pt>
                <c:pt idx="205">
                  <c:v>369.79999999999973</c:v>
                </c:pt>
                <c:pt idx="206">
                  <c:v>371.56999999999971</c:v>
                </c:pt>
                <c:pt idx="207">
                  <c:v>373.33999999999969</c:v>
                </c:pt>
                <c:pt idx="208">
                  <c:v>375.10999999999967</c:v>
                </c:pt>
                <c:pt idx="209">
                  <c:v>376.87999999999965</c:v>
                </c:pt>
                <c:pt idx="210">
                  <c:v>341.48</c:v>
                </c:pt>
                <c:pt idx="211">
                  <c:v>343.25</c:v>
                </c:pt>
                <c:pt idx="212">
                  <c:v>345.02</c:v>
                </c:pt>
                <c:pt idx="213">
                  <c:v>346.78999999999996</c:v>
                </c:pt>
                <c:pt idx="214">
                  <c:v>348.55999999999995</c:v>
                </c:pt>
                <c:pt idx="215">
                  <c:v>350.32999999999993</c:v>
                </c:pt>
                <c:pt idx="216">
                  <c:v>352.09999999999991</c:v>
                </c:pt>
                <c:pt idx="217">
                  <c:v>353.86999999999989</c:v>
                </c:pt>
                <c:pt idx="218">
                  <c:v>355.63999999999987</c:v>
                </c:pt>
                <c:pt idx="219">
                  <c:v>357.40999999999985</c:v>
                </c:pt>
                <c:pt idx="220">
                  <c:v>359.17999999999984</c:v>
                </c:pt>
                <c:pt idx="221">
                  <c:v>360.94999999999982</c:v>
                </c:pt>
                <c:pt idx="222">
                  <c:v>362.7199999999998</c:v>
                </c:pt>
                <c:pt idx="223">
                  <c:v>364.48999999999978</c:v>
                </c:pt>
                <c:pt idx="224">
                  <c:v>366.25999999999976</c:v>
                </c:pt>
                <c:pt idx="225">
                  <c:v>368.02999999999975</c:v>
                </c:pt>
                <c:pt idx="226">
                  <c:v>369.79999999999973</c:v>
                </c:pt>
                <c:pt idx="227">
                  <c:v>371.56999999999971</c:v>
                </c:pt>
                <c:pt idx="228">
                  <c:v>373.33999999999969</c:v>
                </c:pt>
                <c:pt idx="229">
                  <c:v>375.10999999999967</c:v>
                </c:pt>
                <c:pt idx="230">
                  <c:v>376.87999999999965</c:v>
                </c:pt>
                <c:pt idx="231">
                  <c:v>341.48</c:v>
                </c:pt>
                <c:pt idx="232">
                  <c:v>343.25</c:v>
                </c:pt>
                <c:pt idx="233">
                  <c:v>345.02</c:v>
                </c:pt>
                <c:pt idx="234">
                  <c:v>346.78999999999996</c:v>
                </c:pt>
                <c:pt idx="235">
                  <c:v>348.55999999999995</c:v>
                </c:pt>
                <c:pt idx="236">
                  <c:v>350.32999999999993</c:v>
                </c:pt>
                <c:pt idx="237">
                  <c:v>352.09999999999991</c:v>
                </c:pt>
                <c:pt idx="238">
                  <c:v>353.86999999999989</c:v>
                </c:pt>
                <c:pt idx="239">
                  <c:v>355.63999999999987</c:v>
                </c:pt>
                <c:pt idx="240">
                  <c:v>357.40999999999985</c:v>
                </c:pt>
                <c:pt idx="241">
                  <c:v>359.17999999999984</c:v>
                </c:pt>
                <c:pt idx="242">
                  <c:v>360.94999999999982</c:v>
                </c:pt>
                <c:pt idx="243">
                  <c:v>362.7199999999998</c:v>
                </c:pt>
                <c:pt idx="244">
                  <c:v>364.48999999999978</c:v>
                </c:pt>
                <c:pt idx="245">
                  <c:v>366.25999999999976</c:v>
                </c:pt>
                <c:pt idx="246">
                  <c:v>368.02999999999975</c:v>
                </c:pt>
                <c:pt idx="247">
                  <c:v>369.79999999999973</c:v>
                </c:pt>
                <c:pt idx="248">
                  <c:v>371.56999999999971</c:v>
                </c:pt>
                <c:pt idx="249">
                  <c:v>373.33999999999969</c:v>
                </c:pt>
                <c:pt idx="250">
                  <c:v>375.10999999999967</c:v>
                </c:pt>
                <c:pt idx="251">
                  <c:v>376.87999999999965</c:v>
                </c:pt>
                <c:pt idx="252">
                  <c:v>341.48</c:v>
                </c:pt>
                <c:pt idx="253">
                  <c:v>343.25</c:v>
                </c:pt>
                <c:pt idx="254">
                  <c:v>345.02</c:v>
                </c:pt>
                <c:pt idx="255">
                  <c:v>346.78999999999996</c:v>
                </c:pt>
                <c:pt idx="256">
                  <c:v>348.55999999999995</c:v>
                </c:pt>
                <c:pt idx="257">
                  <c:v>350.32999999999993</c:v>
                </c:pt>
                <c:pt idx="258">
                  <c:v>352.09999999999991</c:v>
                </c:pt>
                <c:pt idx="259">
                  <c:v>353.86999999999989</c:v>
                </c:pt>
                <c:pt idx="260">
                  <c:v>355.63999999999987</c:v>
                </c:pt>
                <c:pt idx="261">
                  <c:v>357.40999999999985</c:v>
                </c:pt>
                <c:pt idx="262">
                  <c:v>359.17999999999984</c:v>
                </c:pt>
                <c:pt idx="263">
                  <c:v>360.94999999999982</c:v>
                </c:pt>
                <c:pt idx="264">
                  <c:v>362.7199999999998</c:v>
                </c:pt>
                <c:pt idx="265">
                  <c:v>364.48999999999978</c:v>
                </c:pt>
                <c:pt idx="266">
                  <c:v>366.25999999999976</c:v>
                </c:pt>
                <c:pt idx="267">
                  <c:v>368.02999999999975</c:v>
                </c:pt>
                <c:pt idx="268">
                  <c:v>369.79999999999973</c:v>
                </c:pt>
                <c:pt idx="269">
                  <c:v>371.56999999999971</c:v>
                </c:pt>
                <c:pt idx="270">
                  <c:v>373.33999999999969</c:v>
                </c:pt>
                <c:pt idx="271">
                  <c:v>375.10999999999967</c:v>
                </c:pt>
                <c:pt idx="272">
                  <c:v>376.87999999999965</c:v>
                </c:pt>
                <c:pt idx="273">
                  <c:v>341.48</c:v>
                </c:pt>
                <c:pt idx="274">
                  <c:v>343.25</c:v>
                </c:pt>
                <c:pt idx="275">
                  <c:v>345.02</c:v>
                </c:pt>
                <c:pt idx="276">
                  <c:v>346.78999999999996</c:v>
                </c:pt>
                <c:pt idx="277">
                  <c:v>348.55999999999995</c:v>
                </c:pt>
                <c:pt idx="278">
                  <c:v>350.32999999999993</c:v>
                </c:pt>
                <c:pt idx="279">
                  <c:v>352.09999999999991</c:v>
                </c:pt>
                <c:pt idx="280">
                  <c:v>353.86999999999989</c:v>
                </c:pt>
                <c:pt idx="281">
                  <c:v>355.63999999999987</c:v>
                </c:pt>
                <c:pt idx="282">
                  <c:v>357.40999999999985</c:v>
                </c:pt>
                <c:pt idx="283">
                  <c:v>359.17999999999984</c:v>
                </c:pt>
                <c:pt idx="284">
                  <c:v>360.94999999999982</c:v>
                </c:pt>
                <c:pt idx="285">
                  <c:v>362.7199999999998</c:v>
                </c:pt>
                <c:pt idx="286">
                  <c:v>364.48999999999978</c:v>
                </c:pt>
                <c:pt idx="287">
                  <c:v>366.25999999999976</c:v>
                </c:pt>
                <c:pt idx="288">
                  <c:v>368.02999999999975</c:v>
                </c:pt>
                <c:pt idx="289">
                  <c:v>369.79999999999973</c:v>
                </c:pt>
                <c:pt idx="290">
                  <c:v>371.56999999999971</c:v>
                </c:pt>
                <c:pt idx="291">
                  <c:v>373.33999999999969</c:v>
                </c:pt>
                <c:pt idx="292">
                  <c:v>375.10999999999967</c:v>
                </c:pt>
                <c:pt idx="293">
                  <c:v>376.87999999999965</c:v>
                </c:pt>
                <c:pt idx="294">
                  <c:v>341.48</c:v>
                </c:pt>
                <c:pt idx="295">
                  <c:v>343.25</c:v>
                </c:pt>
                <c:pt idx="296">
                  <c:v>345.02</c:v>
                </c:pt>
                <c:pt idx="297">
                  <c:v>346.78999999999996</c:v>
                </c:pt>
                <c:pt idx="298">
                  <c:v>348.55999999999995</c:v>
                </c:pt>
                <c:pt idx="299">
                  <c:v>350.32999999999993</c:v>
                </c:pt>
                <c:pt idx="300">
                  <c:v>352.09999999999991</c:v>
                </c:pt>
                <c:pt idx="301">
                  <c:v>353.86999999999989</c:v>
                </c:pt>
                <c:pt idx="302">
                  <c:v>355.63999999999987</c:v>
                </c:pt>
                <c:pt idx="303">
                  <c:v>357.40999999999985</c:v>
                </c:pt>
                <c:pt idx="304">
                  <c:v>359.17999999999984</c:v>
                </c:pt>
                <c:pt idx="305">
                  <c:v>360.94999999999982</c:v>
                </c:pt>
                <c:pt idx="306">
                  <c:v>362.7199999999998</c:v>
                </c:pt>
                <c:pt idx="307">
                  <c:v>364.48999999999978</c:v>
                </c:pt>
                <c:pt idx="308">
                  <c:v>366.25999999999976</c:v>
                </c:pt>
                <c:pt idx="309">
                  <c:v>368.02999999999975</c:v>
                </c:pt>
                <c:pt idx="310">
                  <c:v>369.79999999999973</c:v>
                </c:pt>
                <c:pt idx="311">
                  <c:v>371.56999999999971</c:v>
                </c:pt>
                <c:pt idx="312">
                  <c:v>373.33999999999969</c:v>
                </c:pt>
                <c:pt idx="313">
                  <c:v>375.10999999999967</c:v>
                </c:pt>
                <c:pt idx="314">
                  <c:v>376.87999999999965</c:v>
                </c:pt>
                <c:pt idx="315">
                  <c:v>341.48</c:v>
                </c:pt>
                <c:pt idx="316">
                  <c:v>343.25</c:v>
                </c:pt>
                <c:pt idx="317">
                  <c:v>345.02</c:v>
                </c:pt>
                <c:pt idx="318">
                  <c:v>346.78999999999996</c:v>
                </c:pt>
                <c:pt idx="319">
                  <c:v>348.55999999999995</c:v>
                </c:pt>
                <c:pt idx="320">
                  <c:v>350.32999999999993</c:v>
                </c:pt>
                <c:pt idx="321">
                  <c:v>352.09999999999991</c:v>
                </c:pt>
                <c:pt idx="322">
                  <c:v>353.86999999999989</c:v>
                </c:pt>
                <c:pt idx="323">
                  <c:v>355.63999999999987</c:v>
                </c:pt>
                <c:pt idx="324">
                  <c:v>357.40999999999985</c:v>
                </c:pt>
                <c:pt idx="325">
                  <c:v>359.17999999999984</c:v>
                </c:pt>
                <c:pt idx="326">
                  <c:v>360.94999999999982</c:v>
                </c:pt>
                <c:pt idx="327">
                  <c:v>362.7199999999998</c:v>
                </c:pt>
                <c:pt idx="328">
                  <c:v>364.48999999999978</c:v>
                </c:pt>
                <c:pt idx="329">
                  <c:v>366.25999999999976</c:v>
                </c:pt>
                <c:pt idx="330">
                  <c:v>368.02999999999975</c:v>
                </c:pt>
                <c:pt idx="331">
                  <c:v>369.79999999999973</c:v>
                </c:pt>
                <c:pt idx="332">
                  <c:v>371.56999999999971</c:v>
                </c:pt>
                <c:pt idx="333">
                  <c:v>373.33999999999969</c:v>
                </c:pt>
                <c:pt idx="334">
                  <c:v>375.10999999999967</c:v>
                </c:pt>
                <c:pt idx="335">
                  <c:v>376.87999999999965</c:v>
                </c:pt>
                <c:pt idx="336">
                  <c:v>341.48</c:v>
                </c:pt>
                <c:pt idx="337">
                  <c:v>343.25</c:v>
                </c:pt>
                <c:pt idx="338">
                  <c:v>345.02</c:v>
                </c:pt>
                <c:pt idx="339">
                  <c:v>346.78999999999996</c:v>
                </c:pt>
                <c:pt idx="340">
                  <c:v>348.55999999999995</c:v>
                </c:pt>
                <c:pt idx="341">
                  <c:v>350.32999999999993</c:v>
                </c:pt>
                <c:pt idx="342">
                  <c:v>352.09999999999991</c:v>
                </c:pt>
                <c:pt idx="343">
                  <c:v>353.86999999999989</c:v>
                </c:pt>
                <c:pt idx="344">
                  <c:v>355.63999999999987</c:v>
                </c:pt>
                <c:pt idx="345">
                  <c:v>357.40999999999985</c:v>
                </c:pt>
                <c:pt idx="346">
                  <c:v>359.17999999999984</c:v>
                </c:pt>
                <c:pt idx="347">
                  <c:v>360.94999999999982</c:v>
                </c:pt>
                <c:pt idx="348">
                  <c:v>362.7199999999998</c:v>
                </c:pt>
                <c:pt idx="349">
                  <c:v>364.48999999999978</c:v>
                </c:pt>
                <c:pt idx="350">
                  <c:v>366.25999999999976</c:v>
                </c:pt>
                <c:pt idx="351">
                  <c:v>368.02999999999975</c:v>
                </c:pt>
                <c:pt idx="352">
                  <c:v>369.79999999999973</c:v>
                </c:pt>
                <c:pt idx="353">
                  <c:v>371.56999999999971</c:v>
                </c:pt>
                <c:pt idx="354">
                  <c:v>373.33999999999969</c:v>
                </c:pt>
                <c:pt idx="355">
                  <c:v>375.10999999999967</c:v>
                </c:pt>
                <c:pt idx="356">
                  <c:v>376.87999999999965</c:v>
                </c:pt>
                <c:pt idx="357">
                  <c:v>341.48</c:v>
                </c:pt>
                <c:pt idx="358">
                  <c:v>343.25</c:v>
                </c:pt>
                <c:pt idx="359">
                  <c:v>345.02</c:v>
                </c:pt>
                <c:pt idx="360">
                  <c:v>346.78999999999996</c:v>
                </c:pt>
                <c:pt idx="361">
                  <c:v>348.55999999999995</c:v>
                </c:pt>
                <c:pt idx="362">
                  <c:v>350.32999999999993</c:v>
                </c:pt>
                <c:pt idx="363">
                  <c:v>352.09999999999991</c:v>
                </c:pt>
                <c:pt idx="364">
                  <c:v>353.86999999999989</c:v>
                </c:pt>
                <c:pt idx="365">
                  <c:v>355.63999999999987</c:v>
                </c:pt>
                <c:pt idx="366">
                  <c:v>357.40999999999985</c:v>
                </c:pt>
                <c:pt idx="367">
                  <c:v>359.17999999999984</c:v>
                </c:pt>
                <c:pt idx="368">
                  <c:v>360.94999999999982</c:v>
                </c:pt>
                <c:pt idx="369">
                  <c:v>362.7199999999998</c:v>
                </c:pt>
                <c:pt idx="370">
                  <c:v>364.48999999999978</c:v>
                </c:pt>
                <c:pt idx="371">
                  <c:v>366.25999999999976</c:v>
                </c:pt>
                <c:pt idx="372">
                  <c:v>368.02999999999975</c:v>
                </c:pt>
                <c:pt idx="373">
                  <c:v>369.79999999999973</c:v>
                </c:pt>
                <c:pt idx="374">
                  <c:v>371.56999999999971</c:v>
                </c:pt>
                <c:pt idx="375">
                  <c:v>373.33999999999969</c:v>
                </c:pt>
                <c:pt idx="376">
                  <c:v>375.10999999999967</c:v>
                </c:pt>
                <c:pt idx="377">
                  <c:v>376.87999999999965</c:v>
                </c:pt>
                <c:pt idx="378">
                  <c:v>341.48</c:v>
                </c:pt>
                <c:pt idx="379">
                  <c:v>343.25</c:v>
                </c:pt>
                <c:pt idx="380">
                  <c:v>345.02</c:v>
                </c:pt>
                <c:pt idx="381">
                  <c:v>346.78999999999996</c:v>
                </c:pt>
                <c:pt idx="382">
                  <c:v>348.55999999999995</c:v>
                </c:pt>
                <c:pt idx="383">
                  <c:v>350.32999999999993</c:v>
                </c:pt>
                <c:pt idx="384">
                  <c:v>352.09999999999991</c:v>
                </c:pt>
                <c:pt idx="385">
                  <c:v>353.86999999999989</c:v>
                </c:pt>
                <c:pt idx="386">
                  <c:v>355.63999999999987</c:v>
                </c:pt>
                <c:pt idx="387">
                  <c:v>357.40999999999985</c:v>
                </c:pt>
                <c:pt idx="388">
                  <c:v>359.17999999999984</c:v>
                </c:pt>
                <c:pt idx="389">
                  <c:v>360.94999999999982</c:v>
                </c:pt>
                <c:pt idx="390">
                  <c:v>362.7199999999998</c:v>
                </c:pt>
                <c:pt idx="391">
                  <c:v>364.48999999999978</c:v>
                </c:pt>
                <c:pt idx="392">
                  <c:v>366.25999999999976</c:v>
                </c:pt>
                <c:pt idx="393">
                  <c:v>368.02999999999975</c:v>
                </c:pt>
                <c:pt idx="394">
                  <c:v>369.79999999999973</c:v>
                </c:pt>
                <c:pt idx="395">
                  <c:v>371.56999999999971</c:v>
                </c:pt>
                <c:pt idx="396">
                  <c:v>373.33999999999969</c:v>
                </c:pt>
                <c:pt idx="397">
                  <c:v>375.10999999999967</c:v>
                </c:pt>
                <c:pt idx="398">
                  <c:v>376.87999999999965</c:v>
                </c:pt>
                <c:pt idx="399">
                  <c:v>341.48</c:v>
                </c:pt>
                <c:pt idx="400">
                  <c:v>343.25</c:v>
                </c:pt>
                <c:pt idx="401">
                  <c:v>345.02</c:v>
                </c:pt>
                <c:pt idx="402">
                  <c:v>346.78999999999996</c:v>
                </c:pt>
                <c:pt idx="403">
                  <c:v>348.55999999999995</c:v>
                </c:pt>
                <c:pt idx="404">
                  <c:v>350.32999999999993</c:v>
                </c:pt>
                <c:pt idx="405">
                  <c:v>352.09999999999991</c:v>
                </c:pt>
                <c:pt idx="406">
                  <c:v>353.86999999999989</c:v>
                </c:pt>
                <c:pt idx="407">
                  <c:v>355.63999999999987</c:v>
                </c:pt>
                <c:pt idx="408">
                  <c:v>357.40999999999985</c:v>
                </c:pt>
                <c:pt idx="409">
                  <c:v>359.17999999999984</c:v>
                </c:pt>
                <c:pt idx="410">
                  <c:v>360.94999999999982</c:v>
                </c:pt>
                <c:pt idx="411">
                  <c:v>362.7199999999998</c:v>
                </c:pt>
                <c:pt idx="412">
                  <c:v>364.48999999999978</c:v>
                </c:pt>
                <c:pt idx="413">
                  <c:v>366.25999999999976</c:v>
                </c:pt>
                <c:pt idx="414">
                  <c:v>368.02999999999975</c:v>
                </c:pt>
                <c:pt idx="415">
                  <c:v>369.79999999999973</c:v>
                </c:pt>
                <c:pt idx="416">
                  <c:v>371.56999999999971</c:v>
                </c:pt>
                <c:pt idx="417">
                  <c:v>373.33999999999969</c:v>
                </c:pt>
                <c:pt idx="418">
                  <c:v>375.10999999999967</c:v>
                </c:pt>
                <c:pt idx="419">
                  <c:v>376.87999999999965</c:v>
                </c:pt>
                <c:pt idx="420">
                  <c:v>341.48</c:v>
                </c:pt>
                <c:pt idx="421">
                  <c:v>343.25</c:v>
                </c:pt>
                <c:pt idx="422">
                  <c:v>345.02</c:v>
                </c:pt>
                <c:pt idx="423">
                  <c:v>346.78999999999996</c:v>
                </c:pt>
                <c:pt idx="424">
                  <c:v>348.55999999999995</c:v>
                </c:pt>
                <c:pt idx="425">
                  <c:v>350.32999999999993</c:v>
                </c:pt>
                <c:pt idx="426">
                  <c:v>352.09999999999991</c:v>
                </c:pt>
                <c:pt idx="427">
                  <c:v>353.86999999999989</c:v>
                </c:pt>
                <c:pt idx="428">
                  <c:v>355.63999999999987</c:v>
                </c:pt>
                <c:pt idx="429">
                  <c:v>357.40999999999985</c:v>
                </c:pt>
                <c:pt idx="430">
                  <c:v>359.17999999999984</c:v>
                </c:pt>
                <c:pt idx="431">
                  <c:v>360.94999999999982</c:v>
                </c:pt>
                <c:pt idx="432">
                  <c:v>362.7199999999998</c:v>
                </c:pt>
                <c:pt idx="433">
                  <c:v>364.48999999999978</c:v>
                </c:pt>
                <c:pt idx="434">
                  <c:v>366.25999999999976</c:v>
                </c:pt>
                <c:pt idx="435">
                  <c:v>368.02999999999975</c:v>
                </c:pt>
                <c:pt idx="436">
                  <c:v>369.79999999999973</c:v>
                </c:pt>
                <c:pt idx="437">
                  <c:v>371.56999999999971</c:v>
                </c:pt>
                <c:pt idx="438">
                  <c:v>373.33999999999969</c:v>
                </c:pt>
                <c:pt idx="439">
                  <c:v>375.10999999999967</c:v>
                </c:pt>
                <c:pt idx="440">
                  <c:v>376.87999999999965</c:v>
                </c:pt>
              </c:numCache>
            </c:numRef>
          </c:xVal>
          <c:yVal>
            <c:numRef>
              <c:f>optimization!$J$11:$J$20000</c:f>
              <c:numCache>
                <c:formatCode>General</c:formatCode>
                <c:ptCount val="19990"/>
                <c:pt idx="0">
                  <c:v>-2120.6783985726274</c:v>
                </c:pt>
                <c:pt idx="1">
                  <c:v>-2183.810889556436</c:v>
                </c:pt>
                <c:pt idx="2">
                  <c:v>-2238.2977100813546</c:v>
                </c:pt>
                <c:pt idx="3">
                  <c:v>-2285.8587716706784</c:v>
                </c:pt>
                <c:pt idx="4">
                  <c:v>-2328.1132711203213</c:v>
                </c:pt>
                <c:pt idx="5">
                  <c:v>-2366.3017395238071</c:v>
                </c:pt>
                <c:pt idx="6">
                  <c:v>-2401.3462517815628</c:v>
                </c:pt>
                <c:pt idx="7">
                  <c:v>-2433.9474554771773</c:v>
                </c:pt>
                <c:pt idx="8">
                  <c:v>-2464.6717428883185</c:v>
                </c:pt>
                <c:pt idx="9">
                  <c:v>-2494.0315055300302</c:v>
                </c:pt>
                <c:pt idx="10">
                  <c:v>-2522.5764580358359</c:v>
                </c:pt>
                <c:pt idx="11">
                  <c:v>-2551.0232713979844</c:v>
                </c:pt>
                <c:pt idx="12">
                  <c:v>-2580.4657189844856</c:v>
                </c:pt>
                <c:pt idx="13">
                  <c:v>-2612.7237173450762</c:v>
                </c:pt>
                <c:pt idx="14">
                  <c:v>-2650.8722605430421</c:v>
                </c:pt>
                <c:pt idx="15">
                  <c:v>-2699.8562033812559</c:v>
                </c:pt>
                <c:pt idx="16">
                  <c:v>-2766.8000945091735</c:v>
                </c:pt>
                <c:pt idx="17">
                  <c:v>-2860.6013827773913</c:v>
                </c:pt>
                <c:pt idx="18">
                  <c:v>-2991.3628760268384</c:v>
                </c:pt>
                <c:pt idx="19">
                  <c:v>-3171.3693115329083</c:v>
                </c:pt>
                <c:pt idx="20">
                  <c:v>-3418.8898304248883</c:v>
                </c:pt>
                <c:pt idx="21">
                  <c:v>-2122.5986432606674</c:v>
                </c:pt>
                <c:pt idx="22">
                  <c:v>-2186.520290381774</c:v>
                </c:pt>
                <c:pt idx="23">
                  <c:v>-2241.6881961632539</c:v>
                </c:pt>
                <c:pt idx="24">
                  <c:v>-2289.8437710224443</c:v>
                </c:pt>
                <c:pt idx="25">
                  <c:v>-2332.6264517152076</c:v>
                </c:pt>
                <c:pt idx="26">
                  <c:v>-2371.2922759737371</c:v>
                </c:pt>
                <c:pt idx="27">
                  <c:v>-2406.7748446347146</c:v>
                </c:pt>
                <c:pt idx="28">
                  <c:v>-2439.7835633765244</c:v>
                </c:pt>
                <c:pt idx="29">
                  <c:v>-2470.8919043803048</c:v>
                </c:pt>
                <c:pt idx="30">
                  <c:v>-2500.6186640550382</c:v>
                </c:pt>
                <c:pt idx="31">
                  <c:v>-2529.5204284671663</c:v>
                </c:pt>
                <c:pt idx="32">
                  <c:v>-2558.3228269963415</c:v>
                </c:pt>
                <c:pt idx="33">
                  <c:v>-2588.1333051776742</c:v>
                </c:pt>
                <c:pt idx="34">
                  <c:v>-2620.7945285177721</c:v>
                </c:pt>
                <c:pt idx="35">
                  <c:v>-2659.4199285057125</c:v>
                </c:pt>
                <c:pt idx="36">
                  <c:v>-2709.0161706294039</c:v>
                </c:pt>
                <c:pt idx="37">
                  <c:v>-2776.7968603964205</c:v>
                </c:pt>
                <c:pt idx="38">
                  <c:v>-2871.7706647679911</c:v>
                </c:pt>
                <c:pt idx="39">
                  <c:v>-3004.1666766830563</c:v>
                </c:pt>
                <c:pt idx="40">
                  <c:v>-3186.4231926329521</c:v>
                </c:pt>
                <c:pt idx="41">
                  <c:v>-3437.0377180110818</c:v>
                </c:pt>
                <c:pt idx="42">
                  <c:v>-2124.5188879487077</c:v>
                </c:pt>
                <c:pt idx="43">
                  <c:v>-2189.2296912071115</c:v>
                </c:pt>
                <c:pt idx="44">
                  <c:v>-2245.0786822451532</c:v>
                </c:pt>
                <c:pt idx="45">
                  <c:v>-2293.8287703742099</c:v>
                </c:pt>
                <c:pt idx="46">
                  <c:v>-2337.1396323100939</c:v>
                </c:pt>
                <c:pt idx="47">
                  <c:v>-2376.2828124236671</c:v>
                </c:pt>
                <c:pt idx="48">
                  <c:v>-2412.2034374878667</c:v>
                </c:pt>
                <c:pt idx="49">
                  <c:v>-2445.619671275871</c:v>
                </c:pt>
                <c:pt idx="50">
                  <c:v>-2477.1120658722912</c:v>
                </c:pt>
                <c:pt idx="51">
                  <c:v>-2507.2058225800456</c:v>
                </c:pt>
                <c:pt idx="52">
                  <c:v>-2536.4643988984967</c:v>
                </c:pt>
                <c:pt idx="53">
                  <c:v>-2565.6223825946986</c:v>
                </c:pt>
                <c:pt idx="54">
                  <c:v>-2595.8008913708622</c:v>
                </c:pt>
                <c:pt idx="55">
                  <c:v>-2628.8653396904679</c:v>
                </c:pt>
                <c:pt idx="56">
                  <c:v>-2667.9675964683829</c:v>
                </c:pt>
                <c:pt idx="57">
                  <c:v>-2718.1761378775518</c:v>
                </c:pt>
                <c:pt idx="58">
                  <c:v>-2786.7936262836674</c:v>
                </c:pt>
                <c:pt idx="59">
                  <c:v>-2882.9399467585908</c:v>
                </c:pt>
                <c:pt idx="60">
                  <c:v>-3016.9704773392741</c:v>
                </c:pt>
                <c:pt idx="61">
                  <c:v>-3201.4770737329959</c:v>
                </c:pt>
                <c:pt idx="62">
                  <c:v>-3455.1856055972753</c:v>
                </c:pt>
                <c:pt idx="63">
                  <c:v>-2126.4391326367477</c:v>
                </c:pt>
                <c:pt idx="64">
                  <c:v>-2191.9390920324495</c:v>
                </c:pt>
                <c:pt idx="65">
                  <c:v>-2248.4691683270526</c:v>
                </c:pt>
                <c:pt idx="66">
                  <c:v>-2297.8137697259758</c:v>
                </c:pt>
                <c:pt idx="67">
                  <c:v>-2341.6528129049802</c:v>
                </c:pt>
                <c:pt idx="68">
                  <c:v>-2381.2733488735971</c:v>
                </c:pt>
                <c:pt idx="69">
                  <c:v>-2417.6320303410184</c:v>
                </c:pt>
                <c:pt idx="70">
                  <c:v>-2451.4557791752181</c:v>
                </c:pt>
                <c:pt idx="71">
                  <c:v>-2483.3322273642775</c:v>
                </c:pt>
                <c:pt idx="72">
                  <c:v>-2513.7929811050535</c:v>
                </c:pt>
                <c:pt idx="73">
                  <c:v>-2543.4083693298267</c:v>
                </c:pt>
                <c:pt idx="74">
                  <c:v>-2572.9219381930557</c:v>
                </c:pt>
                <c:pt idx="75">
                  <c:v>-2603.4684775640508</c:v>
                </c:pt>
                <c:pt idx="76">
                  <c:v>-2636.9361508631637</c:v>
                </c:pt>
                <c:pt idx="77">
                  <c:v>-2676.5152644310533</c:v>
                </c:pt>
                <c:pt idx="78">
                  <c:v>-2727.3361051256998</c:v>
                </c:pt>
                <c:pt idx="79">
                  <c:v>-2796.7903921709144</c:v>
                </c:pt>
                <c:pt idx="80">
                  <c:v>-2894.1092287491906</c:v>
                </c:pt>
                <c:pt idx="81">
                  <c:v>-3029.7742779954915</c:v>
                </c:pt>
                <c:pt idx="82">
                  <c:v>-3216.5309548330397</c:v>
                </c:pt>
                <c:pt idx="83">
                  <c:v>-3473.3334931834688</c:v>
                </c:pt>
                <c:pt idx="84">
                  <c:v>-2128.3593773247881</c:v>
                </c:pt>
                <c:pt idx="85">
                  <c:v>-2194.6484928577875</c:v>
                </c:pt>
                <c:pt idx="86">
                  <c:v>-2251.8596544089519</c:v>
                </c:pt>
                <c:pt idx="87">
                  <c:v>-2301.7987690777418</c:v>
                </c:pt>
                <c:pt idx="88">
                  <c:v>-2346.1659934998665</c:v>
                </c:pt>
                <c:pt idx="89">
                  <c:v>-2386.2638853235267</c:v>
                </c:pt>
                <c:pt idx="90">
                  <c:v>-2423.0606231941701</c:v>
                </c:pt>
                <c:pt idx="91">
                  <c:v>-2457.2918870745652</c:v>
                </c:pt>
                <c:pt idx="92">
                  <c:v>-2489.5523888562639</c:v>
                </c:pt>
                <c:pt idx="93">
                  <c:v>-2520.380139630061</c:v>
                </c:pt>
                <c:pt idx="94">
                  <c:v>-2550.3523397611571</c:v>
                </c:pt>
                <c:pt idx="95">
                  <c:v>-2580.2214937914127</c:v>
                </c:pt>
                <c:pt idx="96">
                  <c:v>-2611.1360637572393</c:v>
                </c:pt>
                <c:pt idx="97">
                  <c:v>-2645.0069620358595</c:v>
                </c:pt>
                <c:pt idx="98">
                  <c:v>-2685.0629323937237</c:v>
                </c:pt>
                <c:pt idx="99">
                  <c:v>-2736.4960723738482</c:v>
                </c:pt>
                <c:pt idx="100">
                  <c:v>-2806.7871580581614</c:v>
                </c:pt>
                <c:pt idx="101">
                  <c:v>-2905.2785107397904</c:v>
                </c:pt>
                <c:pt idx="102">
                  <c:v>-3042.5780786517093</c:v>
                </c:pt>
                <c:pt idx="103">
                  <c:v>-3231.584835933083</c:v>
                </c:pt>
                <c:pt idx="104">
                  <c:v>-3491.4813807696619</c:v>
                </c:pt>
                <c:pt idx="105">
                  <c:v>-2130.2796220128284</c:v>
                </c:pt>
                <c:pt idx="106">
                  <c:v>-2197.357893683125</c:v>
                </c:pt>
                <c:pt idx="107">
                  <c:v>-2255.2501404908512</c:v>
                </c:pt>
                <c:pt idx="108">
                  <c:v>-2305.7837684295073</c:v>
                </c:pt>
                <c:pt idx="109">
                  <c:v>-2350.6791740947529</c:v>
                </c:pt>
                <c:pt idx="110">
                  <c:v>-2391.2544217734567</c:v>
                </c:pt>
                <c:pt idx="111">
                  <c:v>-2428.4892160473219</c:v>
                </c:pt>
                <c:pt idx="112">
                  <c:v>-2463.1279949739123</c:v>
                </c:pt>
                <c:pt idx="113">
                  <c:v>-2495.7725503482502</c:v>
                </c:pt>
                <c:pt idx="114">
                  <c:v>-2526.9672981550684</c:v>
                </c:pt>
                <c:pt idx="115">
                  <c:v>-2557.2963101924875</c:v>
                </c:pt>
                <c:pt idx="116">
                  <c:v>-2587.5210493897698</c:v>
                </c:pt>
                <c:pt idx="117">
                  <c:v>-2618.8036499504274</c:v>
                </c:pt>
                <c:pt idx="118">
                  <c:v>-2653.0777732085553</c:v>
                </c:pt>
                <c:pt idx="119">
                  <c:v>-2693.6106003563937</c:v>
                </c:pt>
                <c:pt idx="120">
                  <c:v>-2745.6560396219961</c:v>
                </c:pt>
                <c:pt idx="121">
                  <c:v>-2816.7839239454083</c:v>
                </c:pt>
                <c:pt idx="122">
                  <c:v>-2916.4477927303901</c:v>
                </c:pt>
                <c:pt idx="123">
                  <c:v>-3055.3818793079272</c:v>
                </c:pt>
                <c:pt idx="124">
                  <c:v>-3246.6387170331268</c:v>
                </c:pt>
                <c:pt idx="125">
                  <c:v>-3509.6292683558554</c:v>
                </c:pt>
                <c:pt idx="126">
                  <c:v>-2132.1998667008684</c:v>
                </c:pt>
                <c:pt idx="127">
                  <c:v>-2200.067294508463</c:v>
                </c:pt>
                <c:pt idx="128">
                  <c:v>-2258.6406265727505</c:v>
                </c:pt>
                <c:pt idx="129">
                  <c:v>-2309.7687677812733</c:v>
                </c:pt>
                <c:pt idx="130">
                  <c:v>-2355.1923546896392</c:v>
                </c:pt>
                <c:pt idx="131">
                  <c:v>-2396.2449582233867</c:v>
                </c:pt>
                <c:pt idx="132">
                  <c:v>-2433.917808900474</c:v>
                </c:pt>
                <c:pt idx="133">
                  <c:v>-2468.9641028732594</c:v>
                </c:pt>
                <c:pt idx="134">
                  <c:v>-2501.9927118402366</c:v>
                </c:pt>
                <c:pt idx="135">
                  <c:v>-2533.5544566800763</c:v>
                </c:pt>
                <c:pt idx="136">
                  <c:v>-2564.2402806238174</c:v>
                </c:pt>
                <c:pt idx="137">
                  <c:v>-2594.8206049881269</c:v>
                </c:pt>
                <c:pt idx="138">
                  <c:v>-2626.4712361436159</c:v>
                </c:pt>
                <c:pt idx="139">
                  <c:v>-2661.1485843812511</c:v>
                </c:pt>
                <c:pt idx="140">
                  <c:v>-2702.1582683190641</c:v>
                </c:pt>
                <c:pt idx="141">
                  <c:v>-2754.8160068701441</c:v>
                </c:pt>
                <c:pt idx="142">
                  <c:v>-2826.7806898326553</c:v>
                </c:pt>
                <c:pt idx="143">
                  <c:v>-2927.6170747209894</c:v>
                </c:pt>
                <c:pt idx="144">
                  <c:v>-3068.185679964145</c:v>
                </c:pt>
                <c:pt idx="145">
                  <c:v>-3261.6925981331701</c:v>
                </c:pt>
                <c:pt idx="146">
                  <c:v>-3527.7771559420485</c:v>
                </c:pt>
                <c:pt idx="147">
                  <c:v>-2134.1201113889088</c:v>
                </c:pt>
                <c:pt idx="148">
                  <c:v>-2202.7766953338005</c:v>
                </c:pt>
                <c:pt idx="149">
                  <c:v>-2262.0311126546494</c:v>
                </c:pt>
                <c:pt idx="150">
                  <c:v>-2313.7537671330392</c:v>
                </c:pt>
                <c:pt idx="151">
                  <c:v>-2359.7055352845255</c:v>
                </c:pt>
                <c:pt idx="152">
                  <c:v>-2401.2354946733167</c:v>
                </c:pt>
                <c:pt idx="153">
                  <c:v>-2439.3464017536257</c:v>
                </c:pt>
                <c:pt idx="154">
                  <c:v>-2474.8002107726065</c:v>
                </c:pt>
                <c:pt idx="155">
                  <c:v>-2508.2128733322224</c:v>
                </c:pt>
                <c:pt idx="156">
                  <c:v>-2540.1416152050842</c:v>
                </c:pt>
                <c:pt idx="157">
                  <c:v>-2571.1842510551478</c:v>
                </c:pt>
                <c:pt idx="158">
                  <c:v>-2602.120160586484</c:v>
                </c:pt>
                <c:pt idx="159">
                  <c:v>-2634.1388223368044</c:v>
                </c:pt>
                <c:pt idx="160">
                  <c:v>-2669.2193955539469</c:v>
                </c:pt>
                <c:pt idx="161">
                  <c:v>-2710.7059362817345</c:v>
                </c:pt>
                <c:pt idx="162">
                  <c:v>-2763.975974118292</c:v>
                </c:pt>
                <c:pt idx="163">
                  <c:v>-2836.7774557199023</c:v>
                </c:pt>
                <c:pt idx="164">
                  <c:v>-2938.7863567115892</c:v>
                </c:pt>
                <c:pt idx="165">
                  <c:v>-3080.9894806203629</c:v>
                </c:pt>
                <c:pt idx="166">
                  <c:v>-3276.7464792332139</c:v>
                </c:pt>
                <c:pt idx="167">
                  <c:v>-3545.925043528242</c:v>
                </c:pt>
                <c:pt idx="168">
                  <c:v>-2136.0403560769487</c:v>
                </c:pt>
                <c:pt idx="169">
                  <c:v>-2205.4860961591385</c:v>
                </c:pt>
                <c:pt idx="170">
                  <c:v>-2265.4215987365487</c:v>
                </c:pt>
                <c:pt idx="171">
                  <c:v>-2317.7387664848047</c:v>
                </c:pt>
                <c:pt idx="172">
                  <c:v>-2364.2187158794118</c:v>
                </c:pt>
                <c:pt idx="173">
                  <c:v>-2406.2260311232467</c:v>
                </c:pt>
                <c:pt idx="174">
                  <c:v>-2444.7749946067775</c:v>
                </c:pt>
                <c:pt idx="175">
                  <c:v>-2480.6363186719536</c:v>
                </c:pt>
                <c:pt idx="176">
                  <c:v>-2514.4330348242088</c:v>
                </c:pt>
                <c:pt idx="177">
                  <c:v>-2546.7287737300917</c:v>
                </c:pt>
                <c:pt idx="178">
                  <c:v>-2578.1282214864782</c:v>
                </c:pt>
                <c:pt idx="179">
                  <c:v>-2609.419716184841</c:v>
                </c:pt>
                <c:pt idx="180">
                  <c:v>-2641.8064085299925</c:v>
                </c:pt>
                <c:pt idx="181">
                  <c:v>-2677.2902067266423</c:v>
                </c:pt>
                <c:pt idx="182">
                  <c:v>-2719.2536042444049</c:v>
                </c:pt>
                <c:pt idx="183">
                  <c:v>-2773.13594136644</c:v>
                </c:pt>
                <c:pt idx="184">
                  <c:v>-2846.7742216071492</c:v>
                </c:pt>
                <c:pt idx="185">
                  <c:v>-2949.9556387021889</c:v>
                </c:pt>
                <c:pt idx="186">
                  <c:v>-3093.7932812765803</c:v>
                </c:pt>
                <c:pt idx="187">
                  <c:v>-3291.8003603332577</c:v>
                </c:pt>
                <c:pt idx="188">
                  <c:v>-3564.0729311144351</c:v>
                </c:pt>
                <c:pt idx="189">
                  <c:v>-2137.9606007649891</c:v>
                </c:pt>
                <c:pt idx="190">
                  <c:v>-2208.195496984476</c:v>
                </c:pt>
                <c:pt idx="191">
                  <c:v>-2268.8120848184481</c:v>
                </c:pt>
                <c:pt idx="192">
                  <c:v>-2321.7237658365707</c:v>
                </c:pt>
                <c:pt idx="193">
                  <c:v>-2368.7318964742981</c:v>
                </c:pt>
                <c:pt idx="194">
                  <c:v>-2411.2165675731762</c:v>
                </c:pt>
                <c:pt idx="195">
                  <c:v>-2450.2035874599296</c:v>
                </c:pt>
                <c:pt idx="196">
                  <c:v>-2486.4724265713003</c:v>
                </c:pt>
                <c:pt idx="197">
                  <c:v>-2520.6531963161951</c:v>
                </c:pt>
                <c:pt idx="198">
                  <c:v>-2553.3159322550996</c:v>
                </c:pt>
                <c:pt idx="199">
                  <c:v>-2585.0721919178086</c:v>
                </c:pt>
                <c:pt idx="200">
                  <c:v>-2616.7192717831981</c:v>
                </c:pt>
                <c:pt idx="201">
                  <c:v>-2649.473994723181</c:v>
                </c:pt>
                <c:pt idx="202">
                  <c:v>-2685.3610178993381</c:v>
                </c:pt>
                <c:pt idx="203">
                  <c:v>-2727.8012722070753</c:v>
                </c:pt>
                <c:pt idx="204">
                  <c:v>-2782.2959086145879</c:v>
                </c:pt>
                <c:pt idx="205">
                  <c:v>-2856.7709874943962</c:v>
                </c:pt>
                <c:pt idx="206">
                  <c:v>-2961.1249206927887</c:v>
                </c:pt>
                <c:pt idx="207">
                  <c:v>-3106.5970819327981</c:v>
                </c:pt>
                <c:pt idx="208">
                  <c:v>-3306.854241433301</c:v>
                </c:pt>
                <c:pt idx="209">
                  <c:v>-3582.2208187006286</c:v>
                </c:pt>
                <c:pt idx="210">
                  <c:v>-2139.880845453029</c:v>
                </c:pt>
                <c:pt idx="211">
                  <c:v>-2210.904897809814</c:v>
                </c:pt>
                <c:pt idx="212">
                  <c:v>-2272.2025709003474</c:v>
                </c:pt>
                <c:pt idx="213">
                  <c:v>-2325.7087651883367</c:v>
                </c:pt>
                <c:pt idx="214">
                  <c:v>-2373.2450770691844</c:v>
                </c:pt>
                <c:pt idx="215">
                  <c:v>-2416.2071040231062</c:v>
                </c:pt>
                <c:pt idx="216">
                  <c:v>-2455.6321803130813</c:v>
                </c:pt>
                <c:pt idx="217">
                  <c:v>-2492.3085344706474</c:v>
                </c:pt>
                <c:pt idx="218">
                  <c:v>-2526.8733578081815</c:v>
                </c:pt>
                <c:pt idx="219">
                  <c:v>-2559.903090780107</c:v>
                </c:pt>
                <c:pt idx="220">
                  <c:v>-2592.0161623491385</c:v>
                </c:pt>
                <c:pt idx="221">
                  <c:v>-2624.0188273815552</c:v>
                </c:pt>
                <c:pt idx="222">
                  <c:v>-2657.1415809163695</c:v>
                </c:pt>
                <c:pt idx="223">
                  <c:v>-2693.4318290720339</c:v>
                </c:pt>
                <c:pt idx="224">
                  <c:v>-2736.3489401697457</c:v>
                </c:pt>
                <c:pt idx="225">
                  <c:v>-2791.4558758627359</c:v>
                </c:pt>
                <c:pt idx="226">
                  <c:v>-2866.7677533816432</c:v>
                </c:pt>
                <c:pt idx="227">
                  <c:v>-2972.2942026833884</c:v>
                </c:pt>
                <c:pt idx="228">
                  <c:v>-3119.400882589016</c:v>
                </c:pt>
                <c:pt idx="229">
                  <c:v>-3321.9081225333448</c:v>
                </c:pt>
                <c:pt idx="230">
                  <c:v>-3600.3687062868221</c:v>
                </c:pt>
                <c:pt idx="231">
                  <c:v>-2141.8010901410694</c:v>
                </c:pt>
                <c:pt idx="232">
                  <c:v>-2213.6142986351515</c:v>
                </c:pt>
                <c:pt idx="233">
                  <c:v>-2275.5930569822467</c:v>
                </c:pt>
                <c:pt idx="234">
                  <c:v>-2329.6937645401022</c:v>
                </c:pt>
                <c:pt idx="235">
                  <c:v>-2377.7582576640707</c:v>
                </c:pt>
                <c:pt idx="236">
                  <c:v>-2421.1976404730362</c:v>
                </c:pt>
                <c:pt idx="237">
                  <c:v>-2461.060773166233</c:v>
                </c:pt>
                <c:pt idx="238">
                  <c:v>-2498.1446423699945</c:v>
                </c:pt>
                <c:pt idx="239">
                  <c:v>-2533.0935193001678</c:v>
                </c:pt>
                <c:pt idx="240">
                  <c:v>-2566.490249305115</c:v>
                </c:pt>
                <c:pt idx="241">
                  <c:v>-2598.9601327804689</c:v>
                </c:pt>
                <c:pt idx="242">
                  <c:v>-2631.3183829799127</c:v>
                </c:pt>
                <c:pt idx="243">
                  <c:v>-2664.8091671095576</c:v>
                </c:pt>
                <c:pt idx="244">
                  <c:v>-2701.5026402447297</c:v>
                </c:pt>
                <c:pt idx="245">
                  <c:v>-2744.8966081324156</c:v>
                </c:pt>
                <c:pt idx="246">
                  <c:v>-2800.6158431108838</c:v>
                </c:pt>
                <c:pt idx="247">
                  <c:v>-2876.7645192688897</c:v>
                </c:pt>
                <c:pt idx="248">
                  <c:v>-2983.4634846739878</c:v>
                </c:pt>
                <c:pt idx="249">
                  <c:v>-3132.2046832452338</c:v>
                </c:pt>
                <c:pt idx="250">
                  <c:v>-3336.9620036333881</c:v>
                </c:pt>
                <c:pt idx="251">
                  <c:v>-3618.5165938730152</c:v>
                </c:pt>
                <c:pt idx="252">
                  <c:v>-2143.7213348291093</c:v>
                </c:pt>
                <c:pt idx="253">
                  <c:v>-2216.3236994604895</c:v>
                </c:pt>
                <c:pt idx="254">
                  <c:v>-2278.983543064146</c:v>
                </c:pt>
                <c:pt idx="255">
                  <c:v>-2333.6787638918681</c:v>
                </c:pt>
                <c:pt idx="256">
                  <c:v>-2382.271438258957</c:v>
                </c:pt>
                <c:pt idx="257">
                  <c:v>-2426.1881769229662</c:v>
                </c:pt>
                <c:pt idx="258">
                  <c:v>-2466.4893660193852</c:v>
                </c:pt>
                <c:pt idx="259">
                  <c:v>-2503.9807502693416</c:v>
                </c:pt>
                <c:pt idx="260">
                  <c:v>-2539.3136807921542</c:v>
                </c:pt>
                <c:pt idx="261">
                  <c:v>-2573.0774078301224</c:v>
                </c:pt>
                <c:pt idx="262">
                  <c:v>-2605.9041032117993</c:v>
                </c:pt>
                <c:pt idx="263">
                  <c:v>-2638.6179385782698</c:v>
                </c:pt>
                <c:pt idx="264">
                  <c:v>-2672.4767533027461</c:v>
                </c:pt>
                <c:pt idx="265">
                  <c:v>-2709.5734514174255</c:v>
                </c:pt>
                <c:pt idx="266">
                  <c:v>-2753.444276095086</c:v>
                </c:pt>
                <c:pt idx="267">
                  <c:v>-2809.7758103590318</c:v>
                </c:pt>
                <c:pt idx="268">
                  <c:v>-2886.7612851561366</c:v>
                </c:pt>
                <c:pt idx="269">
                  <c:v>-2994.6327666645875</c:v>
                </c:pt>
                <c:pt idx="270">
                  <c:v>-3145.0084839014517</c:v>
                </c:pt>
                <c:pt idx="271">
                  <c:v>-3352.0158847334319</c:v>
                </c:pt>
                <c:pt idx="272">
                  <c:v>-3636.6644814592087</c:v>
                </c:pt>
                <c:pt idx="273">
                  <c:v>-2145.6415795171497</c:v>
                </c:pt>
                <c:pt idx="274">
                  <c:v>-2219.0331002858275</c:v>
                </c:pt>
                <c:pt idx="275">
                  <c:v>-2282.3740291460454</c:v>
                </c:pt>
                <c:pt idx="276">
                  <c:v>-2337.6637632436336</c:v>
                </c:pt>
                <c:pt idx="277">
                  <c:v>-2386.7846188538433</c:v>
                </c:pt>
                <c:pt idx="278">
                  <c:v>-2431.1787133728963</c:v>
                </c:pt>
                <c:pt idx="279">
                  <c:v>-2471.9179588725369</c:v>
                </c:pt>
                <c:pt idx="280">
                  <c:v>-2509.8168581686887</c:v>
                </c:pt>
                <c:pt idx="281">
                  <c:v>-2545.5338422841405</c:v>
                </c:pt>
                <c:pt idx="282">
                  <c:v>-2579.6645663551303</c:v>
                </c:pt>
                <c:pt idx="283">
                  <c:v>-2612.8480736431293</c:v>
                </c:pt>
                <c:pt idx="284">
                  <c:v>-2645.9174941766269</c:v>
                </c:pt>
                <c:pt idx="285">
                  <c:v>-2680.1443394959347</c:v>
                </c:pt>
                <c:pt idx="286">
                  <c:v>-2717.6442625901213</c:v>
                </c:pt>
                <c:pt idx="287">
                  <c:v>-2761.9919440577564</c:v>
                </c:pt>
                <c:pt idx="288">
                  <c:v>-2818.9357776071797</c:v>
                </c:pt>
                <c:pt idx="289">
                  <c:v>-2896.7580510433841</c:v>
                </c:pt>
                <c:pt idx="290">
                  <c:v>-3005.8020486551873</c:v>
                </c:pt>
                <c:pt idx="291">
                  <c:v>-3157.812284557669</c:v>
                </c:pt>
                <c:pt idx="292">
                  <c:v>-3367.0697658334757</c:v>
                </c:pt>
                <c:pt idx="293">
                  <c:v>-3654.8123690454017</c:v>
                </c:pt>
                <c:pt idx="294">
                  <c:v>-2147.5618242051901</c:v>
                </c:pt>
                <c:pt idx="295">
                  <c:v>-2221.742501111165</c:v>
                </c:pt>
                <c:pt idx="296">
                  <c:v>-2285.7645152279442</c:v>
                </c:pt>
                <c:pt idx="297">
                  <c:v>-2341.6487625953996</c:v>
                </c:pt>
                <c:pt idx="298">
                  <c:v>-2391.2977994487296</c:v>
                </c:pt>
                <c:pt idx="299">
                  <c:v>-2436.1692498228258</c:v>
                </c:pt>
                <c:pt idx="300">
                  <c:v>-2477.3465517256886</c:v>
                </c:pt>
                <c:pt idx="301">
                  <c:v>-2515.6529660680358</c:v>
                </c:pt>
                <c:pt idx="302">
                  <c:v>-2551.7540037761269</c:v>
                </c:pt>
                <c:pt idx="303">
                  <c:v>-2586.2517248801378</c:v>
                </c:pt>
                <c:pt idx="304">
                  <c:v>-2619.7920440744597</c:v>
                </c:pt>
                <c:pt idx="305">
                  <c:v>-2653.2170497749839</c:v>
                </c:pt>
                <c:pt idx="306">
                  <c:v>-2687.8119256891227</c:v>
                </c:pt>
                <c:pt idx="307">
                  <c:v>-2725.7150737628172</c:v>
                </c:pt>
                <c:pt idx="308">
                  <c:v>-2770.5396120204268</c:v>
                </c:pt>
                <c:pt idx="309">
                  <c:v>-2828.0957448553277</c:v>
                </c:pt>
                <c:pt idx="310">
                  <c:v>-2906.754816930631</c:v>
                </c:pt>
                <c:pt idx="311">
                  <c:v>-3016.971330645787</c:v>
                </c:pt>
                <c:pt idx="312">
                  <c:v>-3170.6160852138869</c:v>
                </c:pt>
                <c:pt idx="313">
                  <c:v>-3382.123646933519</c:v>
                </c:pt>
                <c:pt idx="314">
                  <c:v>-3672.9602566315953</c:v>
                </c:pt>
                <c:pt idx="315">
                  <c:v>-2149.48206889323</c:v>
                </c:pt>
                <c:pt idx="316">
                  <c:v>-2224.451901936503</c:v>
                </c:pt>
                <c:pt idx="317">
                  <c:v>-2289.1550013098436</c:v>
                </c:pt>
                <c:pt idx="318">
                  <c:v>-2345.6337619471656</c:v>
                </c:pt>
                <c:pt idx="319">
                  <c:v>-2395.8109800436159</c:v>
                </c:pt>
                <c:pt idx="320">
                  <c:v>-2441.1597862727558</c:v>
                </c:pt>
                <c:pt idx="321">
                  <c:v>-2482.7751445788404</c:v>
                </c:pt>
                <c:pt idx="322">
                  <c:v>-2521.4890739673824</c:v>
                </c:pt>
                <c:pt idx="323">
                  <c:v>-2557.9741652681128</c:v>
                </c:pt>
                <c:pt idx="324">
                  <c:v>-2592.8388834051457</c:v>
                </c:pt>
                <c:pt idx="325">
                  <c:v>-2626.7360145057901</c:v>
                </c:pt>
                <c:pt idx="326">
                  <c:v>-2660.516605373341</c:v>
                </c:pt>
                <c:pt idx="327">
                  <c:v>-2695.4795118823113</c:v>
                </c:pt>
                <c:pt idx="328">
                  <c:v>-2733.785884935513</c:v>
                </c:pt>
                <c:pt idx="329">
                  <c:v>-2779.0872799830972</c:v>
                </c:pt>
                <c:pt idx="330">
                  <c:v>-2837.2557121034756</c:v>
                </c:pt>
                <c:pt idx="331">
                  <c:v>-2916.751582817878</c:v>
                </c:pt>
                <c:pt idx="332">
                  <c:v>-3028.1406126363863</c:v>
                </c:pt>
                <c:pt idx="333">
                  <c:v>-3183.4198858701047</c:v>
                </c:pt>
                <c:pt idx="334">
                  <c:v>-3397.1775280335628</c:v>
                </c:pt>
                <c:pt idx="335">
                  <c:v>-3691.1081442177888</c:v>
                </c:pt>
                <c:pt idx="336">
                  <c:v>-2151.4023135812704</c:v>
                </c:pt>
                <c:pt idx="337">
                  <c:v>-2227.1613027618405</c:v>
                </c:pt>
                <c:pt idx="338">
                  <c:v>-2292.5454873917429</c:v>
                </c:pt>
                <c:pt idx="339">
                  <c:v>-2349.6187612989311</c:v>
                </c:pt>
                <c:pt idx="340">
                  <c:v>-2400.3241606385027</c:v>
                </c:pt>
                <c:pt idx="341">
                  <c:v>-2446.1503227226858</c:v>
                </c:pt>
                <c:pt idx="342">
                  <c:v>-2488.2037374319925</c:v>
                </c:pt>
                <c:pt idx="343">
                  <c:v>-2527.3251818667295</c:v>
                </c:pt>
                <c:pt idx="344">
                  <c:v>-2564.1943267600991</c:v>
                </c:pt>
                <c:pt idx="345">
                  <c:v>-2599.4260419301531</c:v>
                </c:pt>
                <c:pt idx="346">
                  <c:v>-2633.67998493712</c:v>
                </c:pt>
                <c:pt idx="347">
                  <c:v>-2667.8161609716981</c:v>
                </c:pt>
                <c:pt idx="348">
                  <c:v>-2703.1470980754998</c:v>
                </c:pt>
                <c:pt idx="349">
                  <c:v>-2741.8566961082083</c:v>
                </c:pt>
                <c:pt idx="350">
                  <c:v>-2787.6349479457676</c:v>
                </c:pt>
                <c:pt idx="351">
                  <c:v>-2846.415679351624</c:v>
                </c:pt>
                <c:pt idx="352">
                  <c:v>-2926.748348705125</c:v>
                </c:pt>
                <c:pt idx="353">
                  <c:v>-3039.3098946269861</c:v>
                </c:pt>
                <c:pt idx="354">
                  <c:v>-3196.2236865263226</c:v>
                </c:pt>
                <c:pt idx="355">
                  <c:v>-3412.2314091336061</c:v>
                </c:pt>
                <c:pt idx="356">
                  <c:v>-3709.2560318039818</c:v>
                </c:pt>
                <c:pt idx="357">
                  <c:v>-2153.3225582693103</c:v>
                </c:pt>
                <c:pt idx="358">
                  <c:v>-2229.8707035871785</c:v>
                </c:pt>
                <c:pt idx="359">
                  <c:v>-2295.9359734736422</c:v>
                </c:pt>
                <c:pt idx="360">
                  <c:v>-2353.603760650697</c:v>
                </c:pt>
                <c:pt idx="361">
                  <c:v>-2404.837341233389</c:v>
                </c:pt>
                <c:pt idx="362">
                  <c:v>-2451.1408591726158</c:v>
                </c:pt>
                <c:pt idx="363">
                  <c:v>-2493.6323302851442</c:v>
                </c:pt>
                <c:pt idx="364">
                  <c:v>-2533.1612897660766</c:v>
                </c:pt>
                <c:pt idx="365">
                  <c:v>-2570.4144882520854</c:v>
                </c:pt>
                <c:pt idx="366">
                  <c:v>-2606.013200455161</c:v>
                </c:pt>
                <c:pt idx="367">
                  <c:v>-2640.6239553684504</c:v>
                </c:pt>
                <c:pt idx="368">
                  <c:v>-2675.1157165700552</c:v>
                </c:pt>
                <c:pt idx="369">
                  <c:v>-2710.8146842686879</c:v>
                </c:pt>
                <c:pt idx="370">
                  <c:v>-2749.9275072809041</c:v>
                </c:pt>
                <c:pt idx="371">
                  <c:v>-2796.1826159084376</c:v>
                </c:pt>
                <c:pt idx="372">
                  <c:v>-2855.575646599772</c:v>
                </c:pt>
                <c:pt idx="373">
                  <c:v>-2936.7451145923715</c:v>
                </c:pt>
                <c:pt idx="374">
                  <c:v>-3050.4791766175858</c:v>
                </c:pt>
                <c:pt idx="375">
                  <c:v>-3209.0274871825404</c:v>
                </c:pt>
                <c:pt idx="376">
                  <c:v>-3427.2852902336499</c:v>
                </c:pt>
                <c:pt idx="377">
                  <c:v>-3727.4039193901754</c:v>
                </c:pt>
                <c:pt idx="378">
                  <c:v>-2155.2428029573507</c:v>
                </c:pt>
                <c:pt idx="379">
                  <c:v>-2232.5801044125164</c:v>
                </c:pt>
                <c:pt idx="380">
                  <c:v>-2299.3264595555415</c:v>
                </c:pt>
                <c:pt idx="381">
                  <c:v>-2357.588760002463</c:v>
                </c:pt>
                <c:pt idx="382">
                  <c:v>-2409.3505218282753</c:v>
                </c:pt>
                <c:pt idx="383">
                  <c:v>-2456.1313956225454</c:v>
                </c:pt>
                <c:pt idx="384">
                  <c:v>-2499.0609231382959</c:v>
                </c:pt>
                <c:pt idx="385">
                  <c:v>-2538.9973976654237</c:v>
                </c:pt>
                <c:pt idx="386">
                  <c:v>-2576.6346497440718</c:v>
                </c:pt>
                <c:pt idx="387">
                  <c:v>-2612.6003589801685</c:v>
                </c:pt>
                <c:pt idx="388">
                  <c:v>-2647.5679257997808</c:v>
                </c:pt>
                <c:pt idx="389">
                  <c:v>-2682.4152721684122</c:v>
                </c:pt>
                <c:pt idx="390">
                  <c:v>-2718.4822704618764</c:v>
                </c:pt>
                <c:pt idx="391">
                  <c:v>-2757.9983184535999</c:v>
                </c:pt>
                <c:pt idx="392">
                  <c:v>-2804.730283871108</c:v>
                </c:pt>
                <c:pt idx="393">
                  <c:v>-2864.7356138479199</c:v>
                </c:pt>
                <c:pt idx="394">
                  <c:v>-2946.7418804796184</c:v>
                </c:pt>
                <c:pt idx="395">
                  <c:v>-3061.6484586081856</c:v>
                </c:pt>
                <c:pt idx="396">
                  <c:v>-3221.8312878387578</c:v>
                </c:pt>
                <c:pt idx="397">
                  <c:v>-3442.3391713336937</c:v>
                </c:pt>
                <c:pt idx="398">
                  <c:v>-3745.5518069763689</c:v>
                </c:pt>
                <c:pt idx="399">
                  <c:v>-2157.1630476453906</c:v>
                </c:pt>
                <c:pt idx="400">
                  <c:v>-2235.289505237854</c:v>
                </c:pt>
                <c:pt idx="401">
                  <c:v>-2302.7169456374409</c:v>
                </c:pt>
                <c:pt idx="402">
                  <c:v>-2361.5737593542285</c:v>
                </c:pt>
                <c:pt idx="403">
                  <c:v>-2413.8637024231616</c:v>
                </c:pt>
                <c:pt idx="404">
                  <c:v>-2461.1219320724754</c:v>
                </c:pt>
                <c:pt idx="405">
                  <c:v>-2504.4895159914481</c:v>
                </c:pt>
                <c:pt idx="406">
                  <c:v>-2544.8335055647708</c:v>
                </c:pt>
                <c:pt idx="407">
                  <c:v>-2582.8548112360581</c:v>
                </c:pt>
                <c:pt idx="408">
                  <c:v>-2619.1875175051764</c:v>
                </c:pt>
                <c:pt idx="409">
                  <c:v>-2654.5118962311108</c:v>
                </c:pt>
                <c:pt idx="410">
                  <c:v>-2689.7148277667693</c:v>
                </c:pt>
                <c:pt idx="411">
                  <c:v>-2726.1498566550649</c:v>
                </c:pt>
                <c:pt idx="412">
                  <c:v>-2766.0691296262958</c:v>
                </c:pt>
                <c:pt idx="413">
                  <c:v>-2813.2779518337784</c:v>
                </c:pt>
                <c:pt idx="414">
                  <c:v>-2873.8955810960679</c:v>
                </c:pt>
                <c:pt idx="415">
                  <c:v>-2956.7386463668654</c:v>
                </c:pt>
                <c:pt idx="416">
                  <c:v>-3072.8177405987853</c:v>
                </c:pt>
                <c:pt idx="417">
                  <c:v>-3234.6350884949757</c:v>
                </c:pt>
                <c:pt idx="418">
                  <c:v>-3457.393052433737</c:v>
                </c:pt>
                <c:pt idx="419">
                  <c:v>-3763.6996945625619</c:v>
                </c:pt>
                <c:pt idx="420">
                  <c:v>-2159.083292333431</c:v>
                </c:pt>
                <c:pt idx="421">
                  <c:v>-2237.998906063192</c:v>
                </c:pt>
                <c:pt idx="422">
                  <c:v>-2306.1074317193402</c:v>
                </c:pt>
                <c:pt idx="423">
                  <c:v>-2365.5587587059945</c:v>
                </c:pt>
                <c:pt idx="424">
                  <c:v>-2418.3768830180479</c:v>
                </c:pt>
                <c:pt idx="425">
                  <c:v>-2466.1124685224054</c:v>
                </c:pt>
                <c:pt idx="426">
                  <c:v>-2509.9181088445998</c:v>
                </c:pt>
                <c:pt idx="427">
                  <c:v>-2550.6696134641179</c:v>
                </c:pt>
                <c:pt idx="428">
                  <c:v>-2589.0749727280445</c:v>
                </c:pt>
                <c:pt idx="429">
                  <c:v>-2625.7746760301839</c:v>
                </c:pt>
                <c:pt idx="430">
                  <c:v>-2661.4558666624412</c:v>
                </c:pt>
                <c:pt idx="431">
                  <c:v>-2697.0143833651264</c:v>
                </c:pt>
                <c:pt idx="432">
                  <c:v>-2733.817442848253</c:v>
                </c:pt>
                <c:pt idx="433">
                  <c:v>-2774.1399407989916</c:v>
                </c:pt>
                <c:pt idx="434">
                  <c:v>-2821.8256197964488</c:v>
                </c:pt>
                <c:pt idx="435">
                  <c:v>-2883.0555483442158</c:v>
                </c:pt>
                <c:pt idx="436">
                  <c:v>-2966.7354122541124</c:v>
                </c:pt>
                <c:pt idx="437">
                  <c:v>-3083.9870225893851</c:v>
                </c:pt>
                <c:pt idx="438">
                  <c:v>-3247.4388891511935</c:v>
                </c:pt>
                <c:pt idx="439">
                  <c:v>-3472.4469335337808</c:v>
                </c:pt>
                <c:pt idx="440">
                  <c:v>-3781.847582148755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9-4DCE-8252-A9EFF5FE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8671215"/>
        <c:axId val="1480930015"/>
      </c:scatterChart>
      <c:valAx>
        <c:axId val="1088671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Temperature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930015"/>
        <c:crosses val="autoZero"/>
        <c:crossBetween val="midCat"/>
      </c:valAx>
      <c:valAx>
        <c:axId val="148093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Qc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8671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optimization!$B$13</c:f>
              <c:strCache>
                <c:ptCount val="1"/>
                <c:pt idx="0">
                  <c:v>345.02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optimization!$C$11:$C$20000</c:f>
              <c:numCache>
                <c:formatCode>General</c:formatCode>
                <c:ptCount val="19990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1.2149999999999999</c:v>
                </c:pt>
                <c:pt idx="22">
                  <c:v>1.2149999999999999</c:v>
                </c:pt>
                <c:pt idx="23">
                  <c:v>1.2149999999999999</c:v>
                </c:pt>
                <c:pt idx="24">
                  <c:v>1.2149999999999999</c:v>
                </c:pt>
                <c:pt idx="25">
                  <c:v>1.2149999999999999</c:v>
                </c:pt>
                <c:pt idx="26">
                  <c:v>1.2149999999999999</c:v>
                </c:pt>
                <c:pt idx="27">
                  <c:v>1.2149999999999999</c:v>
                </c:pt>
                <c:pt idx="28">
                  <c:v>1.2149999999999999</c:v>
                </c:pt>
                <c:pt idx="29">
                  <c:v>1.2149999999999999</c:v>
                </c:pt>
                <c:pt idx="30">
                  <c:v>1.2149999999999999</c:v>
                </c:pt>
                <c:pt idx="31">
                  <c:v>1.2149999999999999</c:v>
                </c:pt>
                <c:pt idx="32">
                  <c:v>1.2149999999999999</c:v>
                </c:pt>
                <c:pt idx="33">
                  <c:v>1.2149999999999999</c:v>
                </c:pt>
                <c:pt idx="34">
                  <c:v>1.2149999999999999</c:v>
                </c:pt>
                <c:pt idx="35">
                  <c:v>1.2149999999999999</c:v>
                </c:pt>
                <c:pt idx="36">
                  <c:v>1.2149999999999999</c:v>
                </c:pt>
                <c:pt idx="37">
                  <c:v>1.2149999999999999</c:v>
                </c:pt>
                <c:pt idx="38">
                  <c:v>1.2149999999999999</c:v>
                </c:pt>
                <c:pt idx="39">
                  <c:v>1.2149999999999999</c:v>
                </c:pt>
                <c:pt idx="40">
                  <c:v>1.2149999999999999</c:v>
                </c:pt>
                <c:pt idx="41">
                  <c:v>1.2149999999999999</c:v>
                </c:pt>
                <c:pt idx="42">
                  <c:v>1.2299999999999998</c:v>
                </c:pt>
                <c:pt idx="43">
                  <c:v>1.2299999999999998</c:v>
                </c:pt>
                <c:pt idx="44">
                  <c:v>1.2299999999999998</c:v>
                </c:pt>
                <c:pt idx="45">
                  <c:v>1.2299999999999998</c:v>
                </c:pt>
                <c:pt idx="46">
                  <c:v>1.2299999999999998</c:v>
                </c:pt>
                <c:pt idx="47">
                  <c:v>1.2299999999999998</c:v>
                </c:pt>
                <c:pt idx="48">
                  <c:v>1.2299999999999998</c:v>
                </c:pt>
                <c:pt idx="49">
                  <c:v>1.2299999999999998</c:v>
                </c:pt>
                <c:pt idx="50">
                  <c:v>1.2299999999999998</c:v>
                </c:pt>
                <c:pt idx="51">
                  <c:v>1.2299999999999998</c:v>
                </c:pt>
                <c:pt idx="52">
                  <c:v>1.2299999999999998</c:v>
                </c:pt>
                <c:pt idx="53">
                  <c:v>1.2299999999999998</c:v>
                </c:pt>
                <c:pt idx="54">
                  <c:v>1.2299999999999998</c:v>
                </c:pt>
                <c:pt idx="55">
                  <c:v>1.2299999999999998</c:v>
                </c:pt>
                <c:pt idx="56">
                  <c:v>1.2299999999999998</c:v>
                </c:pt>
                <c:pt idx="57">
                  <c:v>1.2299999999999998</c:v>
                </c:pt>
                <c:pt idx="58">
                  <c:v>1.2299999999999998</c:v>
                </c:pt>
                <c:pt idx="59">
                  <c:v>1.2299999999999998</c:v>
                </c:pt>
                <c:pt idx="60">
                  <c:v>1.2299999999999998</c:v>
                </c:pt>
                <c:pt idx="61">
                  <c:v>1.2299999999999998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1.2449999999999997</c:v>
                </c:pt>
                <c:pt idx="65">
                  <c:v>1.2449999999999997</c:v>
                </c:pt>
                <c:pt idx="66">
                  <c:v>1.2449999999999997</c:v>
                </c:pt>
                <c:pt idx="67">
                  <c:v>1.2449999999999997</c:v>
                </c:pt>
                <c:pt idx="68">
                  <c:v>1.2449999999999997</c:v>
                </c:pt>
                <c:pt idx="69">
                  <c:v>1.2449999999999997</c:v>
                </c:pt>
                <c:pt idx="70">
                  <c:v>1.2449999999999997</c:v>
                </c:pt>
                <c:pt idx="71">
                  <c:v>1.2449999999999997</c:v>
                </c:pt>
                <c:pt idx="72">
                  <c:v>1.2449999999999997</c:v>
                </c:pt>
                <c:pt idx="73">
                  <c:v>1.2449999999999997</c:v>
                </c:pt>
                <c:pt idx="74">
                  <c:v>1.2449999999999997</c:v>
                </c:pt>
                <c:pt idx="75">
                  <c:v>1.2449999999999997</c:v>
                </c:pt>
                <c:pt idx="76">
                  <c:v>1.2449999999999997</c:v>
                </c:pt>
                <c:pt idx="77">
                  <c:v>1.2449999999999997</c:v>
                </c:pt>
                <c:pt idx="78">
                  <c:v>1.2449999999999997</c:v>
                </c:pt>
                <c:pt idx="79">
                  <c:v>1.2449999999999997</c:v>
                </c:pt>
                <c:pt idx="80">
                  <c:v>1.2449999999999997</c:v>
                </c:pt>
                <c:pt idx="81">
                  <c:v>1.2449999999999997</c:v>
                </c:pt>
                <c:pt idx="82">
                  <c:v>1.2449999999999997</c:v>
                </c:pt>
                <c:pt idx="83">
                  <c:v>1.2449999999999997</c:v>
                </c:pt>
                <c:pt idx="84">
                  <c:v>1.2599999999999996</c:v>
                </c:pt>
                <c:pt idx="85">
                  <c:v>1.2599999999999996</c:v>
                </c:pt>
                <c:pt idx="86">
                  <c:v>1.2599999999999996</c:v>
                </c:pt>
                <c:pt idx="87">
                  <c:v>1.2599999999999996</c:v>
                </c:pt>
                <c:pt idx="88">
                  <c:v>1.2599999999999996</c:v>
                </c:pt>
                <c:pt idx="89">
                  <c:v>1.2599999999999996</c:v>
                </c:pt>
                <c:pt idx="90">
                  <c:v>1.2599999999999996</c:v>
                </c:pt>
                <c:pt idx="91">
                  <c:v>1.2599999999999996</c:v>
                </c:pt>
                <c:pt idx="92">
                  <c:v>1.2599999999999996</c:v>
                </c:pt>
                <c:pt idx="93">
                  <c:v>1.2599999999999996</c:v>
                </c:pt>
                <c:pt idx="94">
                  <c:v>1.2599999999999996</c:v>
                </c:pt>
                <c:pt idx="95">
                  <c:v>1.2599999999999996</c:v>
                </c:pt>
                <c:pt idx="96">
                  <c:v>1.2599999999999996</c:v>
                </c:pt>
                <c:pt idx="97">
                  <c:v>1.2599999999999996</c:v>
                </c:pt>
                <c:pt idx="98">
                  <c:v>1.2599999999999996</c:v>
                </c:pt>
                <c:pt idx="99">
                  <c:v>1.2599999999999996</c:v>
                </c:pt>
                <c:pt idx="100">
                  <c:v>1.2599999999999996</c:v>
                </c:pt>
                <c:pt idx="101">
                  <c:v>1.2599999999999996</c:v>
                </c:pt>
                <c:pt idx="102">
                  <c:v>1.2599999999999996</c:v>
                </c:pt>
                <c:pt idx="103">
                  <c:v>1.2599999999999996</c:v>
                </c:pt>
                <c:pt idx="104">
                  <c:v>1.2599999999999996</c:v>
                </c:pt>
                <c:pt idx="105">
                  <c:v>1.2749999999999995</c:v>
                </c:pt>
                <c:pt idx="106">
                  <c:v>1.2749999999999995</c:v>
                </c:pt>
                <c:pt idx="107">
                  <c:v>1.2749999999999995</c:v>
                </c:pt>
                <c:pt idx="108">
                  <c:v>1.2749999999999995</c:v>
                </c:pt>
                <c:pt idx="109">
                  <c:v>1.2749999999999995</c:v>
                </c:pt>
                <c:pt idx="110">
                  <c:v>1.2749999999999995</c:v>
                </c:pt>
                <c:pt idx="111">
                  <c:v>1.2749999999999995</c:v>
                </c:pt>
                <c:pt idx="112">
                  <c:v>1.2749999999999995</c:v>
                </c:pt>
                <c:pt idx="113">
                  <c:v>1.2749999999999995</c:v>
                </c:pt>
                <c:pt idx="114">
                  <c:v>1.2749999999999995</c:v>
                </c:pt>
                <c:pt idx="115">
                  <c:v>1.2749999999999995</c:v>
                </c:pt>
                <c:pt idx="116">
                  <c:v>1.2749999999999995</c:v>
                </c:pt>
                <c:pt idx="117">
                  <c:v>1.2749999999999995</c:v>
                </c:pt>
                <c:pt idx="118">
                  <c:v>1.2749999999999995</c:v>
                </c:pt>
                <c:pt idx="119">
                  <c:v>1.2749999999999995</c:v>
                </c:pt>
                <c:pt idx="120">
                  <c:v>1.2749999999999995</c:v>
                </c:pt>
                <c:pt idx="121">
                  <c:v>1.2749999999999995</c:v>
                </c:pt>
                <c:pt idx="122">
                  <c:v>1.2749999999999995</c:v>
                </c:pt>
                <c:pt idx="123">
                  <c:v>1.2749999999999995</c:v>
                </c:pt>
                <c:pt idx="124">
                  <c:v>1.2749999999999995</c:v>
                </c:pt>
                <c:pt idx="125">
                  <c:v>1.2749999999999995</c:v>
                </c:pt>
                <c:pt idx="126">
                  <c:v>1.2899999999999994</c:v>
                </c:pt>
                <c:pt idx="127">
                  <c:v>1.2899999999999994</c:v>
                </c:pt>
                <c:pt idx="128">
                  <c:v>1.2899999999999994</c:v>
                </c:pt>
                <c:pt idx="129">
                  <c:v>1.2899999999999994</c:v>
                </c:pt>
                <c:pt idx="130">
                  <c:v>1.2899999999999994</c:v>
                </c:pt>
                <c:pt idx="131">
                  <c:v>1.2899999999999994</c:v>
                </c:pt>
                <c:pt idx="132">
                  <c:v>1.2899999999999994</c:v>
                </c:pt>
                <c:pt idx="133">
                  <c:v>1.2899999999999994</c:v>
                </c:pt>
                <c:pt idx="134">
                  <c:v>1.2899999999999994</c:v>
                </c:pt>
                <c:pt idx="135">
                  <c:v>1.2899999999999994</c:v>
                </c:pt>
                <c:pt idx="136">
                  <c:v>1.2899999999999994</c:v>
                </c:pt>
                <c:pt idx="137">
                  <c:v>1.2899999999999994</c:v>
                </c:pt>
                <c:pt idx="138">
                  <c:v>1.2899999999999994</c:v>
                </c:pt>
                <c:pt idx="139">
                  <c:v>1.2899999999999994</c:v>
                </c:pt>
                <c:pt idx="140">
                  <c:v>1.2899999999999994</c:v>
                </c:pt>
                <c:pt idx="141">
                  <c:v>1.2899999999999994</c:v>
                </c:pt>
                <c:pt idx="142">
                  <c:v>1.2899999999999994</c:v>
                </c:pt>
                <c:pt idx="143">
                  <c:v>1.2899999999999994</c:v>
                </c:pt>
                <c:pt idx="144">
                  <c:v>1.2899999999999994</c:v>
                </c:pt>
                <c:pt idx="145">
                  <c:v>1.2899999999999994</c:v>
                </c:pt>
                <c:pt idx="146">
                  <c:v>1.2899999999999994</c:v>
                </c:pt>
                <c:pt idx="147">
                  <c:v>1.3049999999999993</c:v>
                </c:pt>
                <c:pt idx="148">
                  <c:v>1.3049999999999993</c:v>
                </c:pt>
                <c:pt idx="149">
                  <c:v>1.3049999999999993</c:v>
                </c:pt>
                <c:pt idx="150">
                  <c:v>1.3049999999999993</c:v>
                </c:pt>
                <c:pt idx="151">
                  <c:v>1.3049999999999993</c:v>
                </c:pt>
                <c:pt idx="152">
                  <c:v>1.3049999999999993</c:v>
                </c:pt>
                <c:pt idx="153">
                  <c:v>1.3049999999999993</c:v>
                </c:pt>
                <c:pt idx="154">
                  <c:v>1.3049999999999993</c:v>
                </c:pt>
                <c:pt idx="155">
                  <c:v>1.3049999999999993</c:v>
                </c:pt>
                <c:pt idx="156">
                  <c:v>1.3049999999999993</c:v>
                </c:pt>
                <c:pt idx="157">
                  <c:v>1.3049999999999993</c:v>
                </c:pt>
                <c:pt idx="158">
                  <c:v>1.3049999999999993</c:v>
                </c:pt>
                <c:pt idx="159">
                  <c:v>1.3049999999999993</c:v>
                </c:pt>
                <c:pt idx="160">
                  <c:v>1.3049999999999993</c:v>
                </c:pt>
                <c:pt idx="161">
                  <c:v>1.3049999999999993</c:v>
                </c:pt>
                <c:pt idx="162">
                  <c:v>1.3049999999999993</c:v>
                </c:pt>
                <c:pt idx="163">
                  <c:v>1.3049999999999993</c:v>
                </c:pt>
                <c:pt idx="164">
                  <c:v>1.3049999999999993</c:v>
                </c:pt>
                <c:pt idx="165">
                  <c:v>1.3049999999999993</c:v>
                </c:pt>
                <c:pt idx="166">
                  <c:v>1.3049999999999993</c:v>
                </c:pt>
                <c:pt idx="167">
                  <c:v>1.3049999999999993</c:v>
                </c:pt>
                <c:pt idx="168">
                  <c:v>1.3199999999999992</c:v>
                </c:pt>
                <c:pt idx="169">
                  <c:v>1.3199999999999992</c:v>
                </c:pt>
                <c:pt idx="170">
                  <c:v>1.3199999999999992</c:v>
                </c:pt>
                <c:pt idx="171">
                  <c:v>1.3199999999999992</c:v>
                </c:pt>
                <c:pt idx="172">
                  <c:v>1.3199999999999992</c:v>
                </c:pt>
                <c:pt idx="173">
                  <c:v>1.3199999999999992</c:v>
                </c:pt>
                <c:pt idx="174">
                  <c:v>1.3199999999999992</c:v>
                </c:pt>
                <c:pt idx="175">
                  <c:v>1.3199999999999992</c:v>
                </c:pt>
                <c:pt idx="176">
                  <c:v>1.3199999999999992</c:v>
                </c:pt>
                <c:pt idx="177">
                  <c:v>1.3199999999999992</c:v>
                </c:pt>
                <c:pt idx="178">
                  <c:v>1.3199999999999992</c:v>
                </c:pt>
                <c:pt idx="179">
                  <c:v>1.3199999999999992</c:v>
                </c:pt>
                <c:pt idx="180">
                  <c:v>1.3199999999999992</c:v>
                </c:pt>
                <c:pt idx="181">
                  <c:v>1.3199999999999992</c:v>
                </c:pt>
                <c:pt idx="182">
                  <c:v>1.3199999999999992</c:v>
                </c:pt>
                <c:pt idx="183">
                  <c:v>1.3199999999999992</c:v>
                </c:pt>
                <c:pt idx="184">
                  <c:v>1.3199999999999992</c:v>
                </c:pt>
                <c:pt idx="185">
                  <c:v>1.3199999999999992</c:v>
                </c:pt>
                <c:pt idx="186">
                  <c:v>1.3199999999999992</c:v>
                </c:pt>
                <c:pt idx="187">
                  <c:v>1.3199999999999992</c:v>
                </c:pt>
                <c:pt idx="188">
                  <c:v>1.3199999999999992</c:v>
                </c:pt>
                <c:pt idx="189">
                  <c:v>1.3349999999999991</c:v>
                </c:pt>
                <c:pt idx="190">
                  <c:v>1.3349999999999991</c:v>
                </c:pt>
                <c:pt idx="191">
                  <c:v>1.3349999999999991</c:v>
                </c:pt>
                <c:pt idx="192">
                  <c:v>1.3349999999999991</c:v>
                </c:pt>
                <c:pt idx="193">
                  <c:v>1.3349999999999991</c:v>
                </c:pt>
                <c:pt idx="194">
                  <c:v>1.3349999999999991</c:v>
                </c:pt>
                <c:pt idx="195">
                  <c:v>1.3349999999999991</c:v>
                </c:pt>
                <c:pt idx="196">
                  <c:v>1.3349999999999991</c:v>
                </c:pt>
                <c:pt idx="197">
                  <c:v>1.3349999999999991</c:v>
                </c:pt>
                <c:pt idx="198">
                  <c:v>1.3349999999999991</c:v>
                </c:pt>
                <c:pt idx="199">
                  <c:v>1.3349999999999991</c:v>
                </c:pt>
                <c:pt idx="200">
                  <c:v>1.3349999999999991</c:v>
                </c:pt>
                <c:pt idx="201">
                  <c:v>1.3349999999999991</c:v>
                </c:pt>
                <c:pt idx="202">
                  <c:v>1.3349999999999991</c:v>
                </c:pt>
                <c:pt idx="203">
                  <c:v>1.3349999999999991</c:v>
                </c:pt>
                <c:pt idx="204">
                  <c:v>1.3349999999999991</c:v>
                </c:pt>
                <c:pt idx="205">
                  <c:v>1.3349999999999991</c:v>
                </c:pt>
                <c:pt idx="206">
                  <c:v>1.3349999999999991</c:v>
                </c:pt>
                <c:pt idx="207">
                  <c:v>1.3349999999999991</c:v>
                </c:pt>
                <c:pt idx="208">
                  <c:v>1.3349999999999991</c:v>
                </c:pt>
                <c:pt idx="209">
                  <c:v>1.3349999999999991</c:v>
                </c:pt>
                <c:pt idx="210">
                  <c:v>1.349999999999999</c:v>
                </c:pt>
                <c:pt idx="211">
                  <c:v>1.349999999999999</c:v>
                </c:pt>
                <c:pt idx="212">
                  <c:v>1.349999999999999</c:v>
                </c:pt>
                <c:pt idx="213">
                  <c:v>1.349999999999999</c:v>
                </c:pt>
                <c:pt idx="214">
                  <c:v>1.349999999999999</c:v>
                </c:pt>
                <c:pt idx="215">
                  <c:v>1.349999999999999</c:v>
                </c:pt>
                <c:pt idx="216">
                  <c:v>1.349999999999999</c:v>
                </c:pt>
                <c:pt idx="217">
                  <c:v>1.349999999999999</c:v>
                </c:pt>
                <c:pt idx="218">
                  <c:v>1.349999999999999</c:v>
                </c:pt>
                <c:pt idx="219">
                  <c:v>1.349999999999999</c:v>
                </c:pt>
                <c:pt idx="220">
                  <c:v>1.349999999999999</c:v>
                </c:pt>
                <c:pt idx="221">
                  <c:v>1.349999999999999</c:v>
                </c:pt>
                <c:pt idx="222">
                  <c:v>1.349999999999999</c:v>
                </c:pt>
                <c:pt idx="223">
                  <c:v>1.349999999999999</c:v>
                </c:pt>
                <c:pt idx="224">
                  <c:v>1.349999999999999</c:v>
                </c:pt>
                <c:pt idx="225">
                  <c:v>1.349999999999999</c:v>
                </c:pt>
                <c:pt idx="226">
                  <c:v>1.349999999999999</c:v>
                </c:pt>
                <c:pt idx="227">
                  <c:v>1.349999999999999</c:v>
                </c:pt>
                <c:pt idx="228">
                  <c:v>1.349999999999999</c:v>
                </c:pt>
                <c:pt idx="229">
                  <c:v>1.349999999999999</c:v>
                </c:pt>
                <c:pt idx="230">
                  <c:v>1.349999999999999</c:v>
                </c:pt>
                <c:pt idx="231">
                  <c:v>1.3649999999999989</c:v>
                </c:pt>
                <c:pt idx="232">
                  <c:v>1.3649999999999989</c:v>
                </c:pt>
                <c:pt idx="233">
                  <c:v>1.3649999999999989</c:v>
                </c:pt>
                <c:pt idx="234">
                  <c:v>1.3649999999999989</c:v>
                </c:pt>
                <c:pt idx="235">
                  <c:v>1.3649999999999989</c:v>
                </c:pt>
                <c:pt idx="236">
                  <c:v>1.3649999999999989</c:v>
                </c:pt>
                <c:pt idx="237">
                  <c:v>1.3649999999999989</c:v>
                </c:pt>
                <c:pt idx="238">
                  <c:v>1.3649999999999989</c:v>
                </c:pt>
                <c:pt idx="239">
                  <c:v>1.3649999999999989</c:v>
                </c:pt>
                <c:pt idx="240">
                  <c:v>1.3649999999999989</c:v>
                </c:pt>
                <c:pt idx="241">
                  <c:v>1.3649999999999989</c:v>
                </c:pt>
                <c:pt idx="242">
                  <c:v>1.3649999999999989</c:v>
                </c:pt>
                <c:pt idx="243">
                  <c:v>1.3649999999999989</c:v>
                </c:pt>
                <c:pt idx="244">
                  <c:v>1.3649999999999989</c:v>
                </c:pt>
                <c:pt idx="245">
                  <c:v>1.3649999999999989</c:v>
                </c:pt>
                <c:pt idx="246">
                  <c:v>1.3649999999999989</c:v>
                </c:pt>
                <c:pt idx="247">
                  <c:v>1.3649999999999989</c:v>
                </c:pt>
                <c:pt idx="248">
                  <c:v>1.3649999999999989</c:v>
                </c:pt>
                <c:pt idx="249">
                  <c:v>1.3649999999999989</c:v>
                </c:pt>
                <c:pt idx="250">
                  <c:v>1.3649999999999989</c:v>
                </c:pt>
                <c:pt idx="251">
                  <c:v>1.3649999999999989</c:v>
                </c:pt>
                <c:pt idx="252">
                  <c:v>1.3799999999999988</c:v>
                </c:pt>
                <c:pt idx="253">
                  <c:v>1.3799999999999988</c:v>
                </c:pt>
                <c:pt idx="254">
                  <c:v>1.3799999999999988</c:v>
                </c:pt>
                <c:pt idx="255">
                  <c:v>1.3799999999999988</c:v>
                </c:pt>
                <c:pt idx="256">
                  <c:v>1.3799999999999988</c:v>
                </c:pt>
                <c:pt idx="257">
                  <c:v>1.3799999999999988</c:v>
                </c:pt>
                <c:pt idx="258">
                  <c:v>1.3799999999999988</c:v>
                </c:pt>
                <c:pt idx="259">
                  <c:v>1.3799999999999988</c:v>
                </c:pt>
                <c:pt idx="260">
                  <c:v>1.3799999999999988</c:v>
                </c:pt>
                <c:pt idx="261">
                  <c:v>1.3799999999999988</c:v>
                </c:pt>
                <c:pt idx="262">
                  <c:v>1.3799999999999988</c:v>
                </c:pt>
                <c:pt idx="263">
                  <c:v>1.3799999999999988</c:v>
                </c:pt>
                <c:pt idx="264">
                  <c:v>1.3799999999999988</c:v>
                </c:pt>
                <c:pt idx="265">
                  <c:v>1.3799999999999988</c:v>
                </c:pt>
                <c:pt idx="266">
                  <c:v>1.3799999999999988</c:v>
                </c:pt>
                <c:pt idx="267">
                  <c:v>1.3799999999999988</c:v>
                </c:pt>
                <c:pt idx="268">
                  <c:v>1.3799999999999988</c:v>
                </c:pt>
                <c:pt idx="269">
                  <c:v>1.3799999999999988</c:v>
                </c:pt>
                <c:pt idx="270">
                  <c:v>1.3799999999999988</c:v>
                </c:pt>
                <c:pt idx="271">
                  <c:v>1.3799999999999988</c:v>
                </c:pt>
                <c:pt idx="272">
                  <c:v>1.3799999999999988</c:v>
                </c:pt>
                <c:pt idx="273">
                  <c:v>1.3949999999999987</c:v>
                </c:pt>
                <c:pt idx="274">
                  <c:v>1.3949999999999987</c:v>
                </c:pt>
                <c:pt idx="275">
                  <c:v>1.3949999999999987</c:v>
                </c:pt>
                <c:pt idx="276">
                  <c:v>1.3949999999999987</c:v>
                </c:pt>
                <c:pt idx="277">
                  <c:v>1.3949999999999987</c:v>
                </c:pt>
                <c:pt idx="278">
                  <c:v>1.3949999999999987</c:v>
                </c:pt>
                <c:pt idx="279">
                  <c:v>1.3949999999999987</c:v>
                </c:pt>
                <c:pt idx="280">
                  <c:v>1.3949999999999987</c:v>
                </c:pt>
                <c:pt idx="281">
                  <c:v>1.3949999999999987</c:v>
                </c:pt>
                <c:pt idx="282">
                  <c:v>1.3949999999999987</c:v>
                </c:pt>
                <c:pt idx="283">
                  <c:v>1.3949999999999987</c:v>
                </c:pt>
                <c:pt idx="284">
                  <c:v>1.3949999999999987</c:v>
                </c:pt>
                <c:pt idx="285">
                  <c:v>1.3949999999999987</c:v>
                </c:pt>
                <c:pt idx="286">
                  <c:v>1.3949999999999987</c:v>
                </c:pt>
                <c:pt idx="287">
                  <c:v>1.3949999999999987</c:v>
                </c:pt>
                <c:pt idx="288">
                  <c:v>1.3949999999999987</c:v>
                </c:pt>
                <c:pt idx="289">
                  <c:v>1.3949999999999987</c:v>
                </c:pt>
                <c:pt idx="290">
                  <c:v>1.3949999999999987</c:v>
                </c:pt>
                <c:pt idx="291">
                  <c:v>1.3949999999999987</c:v>
                </c:pt>
                <c:pt idx="292">
                  <c:v>1.3949999999999987</c:v>
                </c:pt>
                <c:pt idx="293">
                  <c:v>1.3949999999999987</c:v>
                </c:pt>
                <c:pt idx="294">
                  <c:v>1.4099999999999986</c:v>
                </c:pt>
                <c:pt idx="295">
                  <c:v>1.4099999999999986</c:v>
                </c:pt>
                <c:pt idx="296">
                  <c:v>1.4099999999999986</c:v>
                </c:pt>
                <c:pt idx="297">
                  <c:v>1.4099999999999986</c:v>
                </c:pt>
                <c:pt idx="298">
                  <c:v>1.4099999999999986</c:v>
                </c:pt>
                <c:pt idx="299">
                  <c:v>1.4099999999999986</c:v>
                </c:pt>
                <c:pt idx="300">
                  <c:v>1.4099999999999986</c:v>
                </c:pt>
                <c:pt idx="301">
                  <c:v>1.4099999999999986</c:v>
                </c:pt>
                <c:pt idx="302">
                  <c:v>1.4099999999999986</c:v>
                </c:pt>
                <c:pt idx="303">
                  <c:v>1.4099999999999986</c:v>
                </c:pt>
                <c:pt idx="304">
                  <c:v>1.4099999999999986</c:v>
                </c:pt>
                <c:pt idx="305">
                  <c:v>1.4099999999999986</c:v>
                </c:pt>
                <c:pt idx="306">
                  <c:v>1.4099999999999986</c:v>
                </c:pt>
                <c:pt idx="307">
                  <c:v>1.4099999999999986</c:v>
                </c:pt>
                <c:pt idx="308">
                  <c:v>1.4099999999999986</c:v>
                </c:pt>
                <c:pt idx="309">
                  <c:v>1.4099999999999986</c:v>
                </c:pt>
                <c:pt idx="310">
                  <c:v>1.4099999999999986</c:v>
                </c:pt>
                <c:pt idx="311">
                  <c:v>1.4099999999999986</c:v>
                </c:pt>
                <c:pt idx="312">
                  <c:v>1.4099999999999986</c:v>
                </c:pt>
                <c:pt idx="313">
                  <c:v>1.4099999999999986</c:v>
                </c:pt>
                <c:pt idx="314">
                  <c:v>1.4099999999999986</c:v>
                </c:pt>
                <c:pt idx="315">
                  <c:v>1.4249999999999985</c:v>
                </c:pt>
                <c:pt idx="316">
                  <c:v>1.4249999999999985</c:v>
                </c:pt>
                <c:pt idx="317">
                  <c:v>1.4249999999999985</c:v>
                </c:pt>
                <c:pt idx="318">
                  <c:v>1.4249999999999985</c:v>
                </c:pt>
                <c:pt idx="319">
                  <c:v>1.4249999999999985</c:v>
                </c:pt>
                <c:pt idx="320">
                  <c:v>1.4249999999999985</c:v>
                </c:pt>
                <c:pt idx="321">
                  <c:v>1.4249999999999985</c:v>
                </c:pt>
                <c:pt idx="322">
                  <c:v>1.4249999999999985</c:v>
                </c:pt>
                <c:pt idx="323">
                  <c:v>1.4249999999999985</c:v>
                </c:pt>
                <c:pt idx="324">
                  <c:v>1.4249999999999985</c:v>
                </c:pt>
                <c:pt idx="325">
                  <c:v>1.4249999999999985</c:v>
                </c:pt>
                <c:pt idx="326">
                  <c:v>1.4249999999999985</c:v>
                </c:pt>
                <c:pt idx="327">
                  <c:v>1.4249999999999985</c:v>
                </c:pt>
                <c:pt idx="328">
                  <c:v>1.4249999999999985</c:v>
                </c:pt>
                <c:pt idx="329">
                  <c:v>1.4249999999999985</c:v>
                </c:pt>
                <c:pt idx="330">
                  <c:v>1.4249999999999985</c:v>
                </c:pt>
                <c:pt idx="331">
                  <c:v>1.4249999999999985</c:v>
                </c:pt>
                <c:pt idx="332">
                  <c:v>1.4249999999999985</c:v>
                </c:pt>
                <c:pt idx="333">
                  <c:v>1.4249999999999985</c:v>
                </c:pt>
                <c:pt idx="334">
                  <c:v>1.4249999999999985</c:v>
                </c:pt>
                <c:pt idx="335">
                  <c:v>1.4249999999999985</c:v>
                </c:pt>
                <c:pt idx="336">
                  <c:v>1.4399999999999984</c:v>
                </c:pt>
                <c:pt idx="337">
                  <c:v>1.4399999999999984</c:v>
                </c:pt>
                <c:pt idx="338">
                  <c:v>1.4399999999999984</c:v>
                </c:pt>
                <c:pt idx="339">
                  <c:v>1.4399999999999984</c:v>
                </c:pt>
                <c:pt idx="340">
                  <c:v>1.4399999999999984</c:v>
                </c:pt>
                <c:pt idx="341">
                  <c:v>1.4399999999999984</c:v>
                </c:pt>
                <c:pt idx="342">
                  <c:v>1.4399999999999984</c:v>
                </c:pt>
                <c:pt idx="343">
                  <c:v>1.4399999999999984</c:v>
                </c:pt>
                <c:pt idx="344">
                  <c:v>1.4399999999999984</c:v>
                </c:pt>
                <c:pt idx="345">
                  <c:v>1.4399999999999984</c:v>
                </c:pt>
                <c:pt idx="346">
                  <c:v>1.4399999999999984</c:v>
                </c:pt>
                <c:pt idx="347">
                  <c:v>1.4399999999999984</c:v>
                </c:pt>
                <c:pt idx="348">
                  <c:v>1.4399999999999984</c:v>
                </c:pt>
                <c:pt idx="349">
                  <c:v>1.4399999999999984</c:v>
                </c:pt>
                <c:pt idx="350">
                  <c:v>1.4399999999999984</c:v>
                </c:pt>
                <c:pt idx="351">
                  <c:v>1.4399999999999984</c:v>
                </c:pt>
                <c:pt idx="352">
                  <c:v>1.4399999999999984</c:v>
                </c:pt>
                <c:pt idx="353">
                  <c:v>1.4399999999999984</c:v>
                </c:pt>
                <c:pt idx="354">
                  <c:v>1.4399999999999984</c:v>
                </c:pt>
                <c:pt idx="355">
                  <c:v>1.4399999999999984</c:v>
                </c:pt>
                <c:pt idx="356">
                  <c:v>1.4399999999999984</c:v>
                </c:pt>
                <c:pt idx="357">
                  <c:v>1.4549999999999983</c:v>
                </c:pt>
                <c:pt idx="358">
                  <c:v>1.4549999999999983</c:v>
                </c:pt>
                <c:pt idx="359">
                  <c:v>1.4549999999999983</c:v>
                </c:pt>
                <c:pt idx="360">
                  <c:v>1.4549999999999983</c:v>
                </c:pt>
                <c:pt idx="361">
                  <c:v>1.4549999999999983</c:v>
                </c:pt>
                <c:pt idx="362">
                  <c:v>1.4549999999999983</c:v>
                </c:pt>
                <c:pt idx="363">
                  <c:v>1.4549999999999983</c:v>
                </c:pt>
                <c:pt idx="364">
                  <c:v>1.4549999999999983</c:v>
                </c:pt>
                <c:pt idx="365">
                  <c:v>1.4549999999999983</c:v>
                </c:pt>
                <c:pt idx="366">
                  <c:v>1.4549999999999983</c:v>
                </c:pt>
                <c:pt idx="367">
                  <c:v>1.4549999999999983</c:v>
                </c:pt>
                <c:pt idx="368">
                  <c:v>1.4549999999999983</c:v>
                </c:pt>
                <c:pt idx="369">
                  <c:v>1.4549999999999983</c:v>
                </c:pt>
                <c:pt idx="370">
                  <c:v>1.4549999999999983</c:v>
                </c:pt>
                <c:pt idx="371">
                  <c:v>1.4549999999999983</c:v>
                </c:pt>
                <c:pt idx="372">
                  <c:v>1.4549999999999983</c:v>
                </c:pt>
                <c:pt idx="373">
                  <c:v>1.4549999999999983</c:v>
                </c:pt>
                <c:pt idx="374">
                  <c:v>1.4549999999999983</c:v>
                </c:pt>
                <c:pt idx="375">
                  <c:v>1.4549999999999983</c:v>
                </c:pt>
                <c:pt idx="376">
                  <c:v>1.4549999999999983</c:v>
                </c:pt>
                <c:pt idx="377">
                  <c:v>1.4549999999999983</c:v>
                </c:pt>
                <c:pt idx="378">
                  <c:v>1.4699999999999982</c:v>
                </c:pt>
                <c:pt idx="379">
                  <c:v>1.4699999999999982</c:v>
                </c:pt>
                <c:pt idx="380">
                  <c:v>1.4699999999999982</c:v>
                </c:pt>
                <c:pt idx="381">
                  <c:v>1.4699999999999982</c:v>
                </c:pt>
                <c:pt idx="382">
                  <c:v>1.4699999999999982</c:v>
                </c:pt>
                <c:pt idx="383">
                  <c:v>1.4699999999999982</c:v>
                </c:pt>
                <c:pt idx="384">
                  <c:v>1.4699999999999982</c:v>
                </c:pt>
                <c:pt idx="385">
                  <c:v>1.4699999999999982</c:v>
                </c:pt>
                <c:pt idx="386">
                  <c:v>1.4699999999999982</c:v>
                </c:pt>
                <c:pt idx="387">
                  <c:v>1.4699999999999982</c:v>
                </c:pt>
                <c:pt idx="388">
                  <c:v>1.4699999999999982</c:v>
                </c:pt>
                <c:pt idx="389">
                  <c:v>1.4699999999999982</c:v>
                </c:pt>
                <c:pt idx="390">
                  <c:v>1.4699999999999982</c:v>
                </c:pt>
                <c:pt idx="391">
                  <c:v>1.4699999999999982</c:v>
                </c:pt>
                <c:pt idx="392">
                  <c:v>1.4699999999999982</c:v>
                </c:pt>
                <c:pt idx="393">
                  <c:v>1.4699999999999982</c:v>
                </c:pt>
                <c:pt idx="394">
                  <c:v>1.4699999999999982</c:v>
                </c:pt>
                <c:pt idx="395">
                  <c:v>1.4699999999999982</c:v>
                </c:pt>
                <c:pt idx="396">
                  <c:v>1.4699999999999982</c:v>
                </c:pt>
                <c:pt idx="397">
                  <c:v>1.4699999999999982</c:v>
                </c:pt>
                <c:pt idx="398">
                  <c:v>1.4699999999999982</c:v>
                </c:pt>
                <c:pt idx="399">
                  <c:v>1.4849999999999981</c:v>
                </c:pt>
                <c:pt idx="400">
                  <c:v>1.4849999999999981</c:v>
                </c:pt>
                <c:pt idx="401">
                  <c:v>1.4849999999999981</c:v>
                </c:pt>
                <c:pt idx="402">
                  <c:v>1.4849999999999981</c:v>
                </c:pt>
                <c:pt idx="403">
                  <c:v>1.4849999999999981</c:v>
                </c:pt>
                <c:pt idx="404">
                  <c:v>1.4849999999999981</c:v>
                </c:pt>
                <c:pt idx="405">
                  <c:v>1.4849999999999981</c:v>
                </c:pt>
                <c:pt idx="406">
                  <c:v>1.4849999999999981</c:v>
                </c:pt>
                <c:pt idx="407">
                  <c:v>1.4849999999999981</c:v>
                </c:pt>
                <c:pt idx="408">
                  <c:v>1.4849999999999981</c:v>
                </c:pt>
                <c:pt idx="409">
                  <c:v>1.4849999999999981</c:v>
                </c:pt>
                <c:pt idx="410">
                  <c:v>1.4849999999999981</c:v>
                </c:pt>
                <c:pt idx="411">
                  <c:v>1.4849999999999981</c:v>
                </c:pt>
                <c:pt idx="412">
                  <c:v>1.4849999999999981</c:v>
                </c:pt>
                <c:pt idx="413">
                  <c:v>1.4849999999999981</c:v>
                </c:pt>
                <c:pt idx="414">
                  <c:v>1.4849999999999981</c:v>
                </c:pt>
                <c:pt idx="415">
                  <c:v>1.4849999999999981</c:v>
                </c:pt>
                <c:pt idx="416">
                  <c:v>1.4849999999999981</c:v>
                </c:pt>
                <c:pt idx="417">
                  <c:v>1.4849999999999981</c:v>
                </c:pt>
                <c:pt idx="418">
                  <c:v>1.4849999999999981</c:v>
                </c:pt>
                <c:pt idx="419">
                  <c:v>1.4849999999999981</c:v>
                </c:pt>
                <c:pt idx="420">
                  <c:v>1.499999999999998</c:v>
                </c:pt>
                <c:pt idx="421">
                  <c:v>1.499999999999998</c:v>
                </c:pt>
                <c:pt idx="422">
                  <c:v>1.499999999999998</c:v>
                </c:pt>
                <c:pt idx="423">
                  <c:v>1.499999999999998</c:v>
                </c:pt>
                <c:pt idx="424">
                  <c:v>1.499999999999998</c:v>
                </c:pt>
                <c:pt idx="425">
                  <c:v>1.499999999999998</c:v>
                </c:pt>
                <c:pt idx="426">
                  <c:v>1.499999999999998</c:v>
                </c:pt>
                <c:pt idx="427">
                  <c:v>1.499999999999998</c:v>
                </c:pt>
                <c:pt idx="428">
                  <c:v>1.499999999999998</c:v>
                </c:pt>
                <c:pt idx="429">
                  <c:v>1.499999999999998</c:v>
                </c:pt>
                <c:pt idx="430">
                  <c:v>1.499999999999998</c:v>
                </c:pt>
                <c:pt idx="431">
                  <c:v>1.499999999999998</c:v>
                </c:pt>
                <c:pt idx="432">
                  <c:v>1.499999999999998</c:v>
                </c:pt>
                <c:pt idx="433">
                  <c:v>1.499999999999998</c:v>
                </c:pt>
                <c:pt idx="434">
                  <c:v>1.499999999999998</c:v>
                </c:pt>
                <c:pt idx="435">
                  <c:v>1.499999999999998</c:v>
                </c:pt>
                <c:pt idx="436">
                  <c:v>1.499999999999998</c:v>
                </c:pt>
                <c:pt idx="437">
                  <c:v>1.499999999999998</c:v>
                </c:pt>
                <c:pt idx="438">
                  <c:v>1.499999999999998</c:v>
                </c:pt>
                <c:pt idx="439">
                  <c:v>1.499999999999998</c:v>
                </c:pt>
                <c:pt idx="440">
                  <c:v>1.499999999999998</c:v>
                </c:pt>
              </c:numCache>
            </c:numRef>
          </c:xVal>
          <c:yVal>
            <c:numRef>
              <c:f>optimization!$J$11:$J$20000</c:f>
              <c:numCache>
                <c:formatCode>General</c:formatCode>
                <c:ptCount val="19990"/>
                <c:pt idx="0">
                  <c:v>-2120.6783985726274</c:v>
                </c:pt>
                <c:pt idx="1">
                  <c:v>-2183.810889556436</c:v>
                </c:pt>
                <c:pt idx="2">
                  <c:v>-2238.2977100813546</c:v>
                </c:pt>
                <c:pt idx="3">
                  <c:v>-2285.8587716706784</c:v>
                </c:pt>
                <c:pt idx="4">
                  <c:v>-2328.1132711203213</c:v>
                </c:pt>
                <c:pt idx="5">
                  <c:v>-2366.3017395238071</c:v>
                </c:pt>
                <c:pt idx="6">
                  <c:v>-2401.3462517815628</c:v>
                </c:pt>
                <c:pt idx="7">
                  <c:v>-2433.9474554771773</c:v>
                </c:pt>
                <c:pt idx="8">
                  <c:v>-2464.6717428883185</c:v>
                </c:pt>
                <c:pt idx="9">
                  <c:v>-2494.0315055300302</c:v>
                </c:pt>
                <c:pt idx="10">
                  <c:v>-2522.5764580358359</c:v>
                </c:pt>
                <c:pt idx="11">
                  <c:v>-2551.0232713979844</c:v>
                </c:pt>
                <c:pt idx="12">
                  <c:v>-2580.4657189844856</c:v>
                </c:pt>
                <c:pt idx="13">
                  <c:v>-2612.7237173450762</c:v>
                </c:pt>
                <c:pt idx="14">
                  <c:v>-2650.8722605430421</c:v>
                </c:pt>
                <c:pt idx="15">
                  <c:v>-2699.8562033812559</c:v>
                </c:pt>
                <c:pt idx="16">
                  <c:v>-2766.8000945091735</c:v>
                </c:pt>
                <c:pt idx="17">
                  <c:v>-2860.6013827773913</c:v>
                </c:pt>
                <c:pt idx="18">
                  <c:v>-2991.3628760268384</c:v>
                </c:pt>
                <c:pt idx="19">
                  <c:v>-3171.3693115329083</c:v>
                </c:pt>
                <c:pt idx="20">
                  <c:v>-3418.8898304248883</c:v>
                </c:pt>
                <c:pt idx="21">
                  <c:v>-2122.5986432606674</c:v>
                </c:pt>
                <c:pt idx="22">
                  <c:v>-2186.520290381774</c:v>
                </c:pt>
                <c:pt idx="23">
                  <c:v>-2241.6881961632539</c:v>
                </c:pt>
                <c:pt idx="24">
                  <c:v>-2289.8437710224443</c:v>
                </c:pt>
                <c:pt idx="25">
                  <c:v>-2332.6264517152076</c:v>
                </c:pt>
                <c:pt idx="26">
                  <c:v>-2371.2922759737371</c:v>
                </c:pt>
                <c:pt idx="27">
                  <c:v>-2406.7748446347146</c:v>
                </c:pt>
                <c:pt idx="28">
                  <c:v>-2439.7835633765244</c:v>
                </c:pt>
                <c:pt idx="29">
                  <c:v>-2470.8919043803048</c:v>
                </c:pt>
                <c:pt idx="30">
                  <c:v>-2500.6186640550382</c:v>
                </c:pt>
                <c:pt idx="31">
                  <c:v>-2529.5204284671663</c:v>
                </c:pt>
                <c:pt idx="32">
                  <c:v>-2558.3228269963415</c:v>
                </c:pt>
                <c:pt idx="33">
                  <c:v>-2588.1333051776742</c:v>
                </c:pt>
                <c:pt idx="34">
                  <c:v>-2620.7945285177721</c:v>
                </c:pt>
                <c:pt idx="35">
                  <c:v>-2659.4199285057125</c:v>
                </c:pt>
                <c:pt idx="36">
                  <c:v>-2709.0161706294039</c:v>
                </c:pt>
                <c:pt idx="37">
                  <c:v>-2776.7968603964205</c:v>
                </c:pt>
                <c:pt idx="38">
                  <c:v>-2871.7706647679911</c:v>
                </c:pt>
                <c:pt idx="39">
                  <c:v>-3004.1666766830563</c:v>
                </c:pt>
                <c:pt idx="40">
                  <c:v>-3186.4231926329521</c:v>
                </c:pt>
                <c:pt idx="41">
                  <c:v>-3437.0377180110818</c:v>
                </c:pt>
                <c:pt idx="42">
                  <c:v>-2124.5188879487077</c:v>
                </c:pt>
                <c:pt idx="43">
                  <c:v>-2189.2296912071115</c:v>
                </c:pt>
                <c:pt idx="44">
                  <c:v>-2245.0786822451532</c:v>
                </c:pt>
                <c:pt idx="45">
                  <c:v>-2293.8287703742099</c:v>
                </c:pt>
                <c:pt idx="46">
                  <c:v>-2337.1396323100939</c:v>
                </c:pt>
                <c:pt idx="47">
                  <c:v>-2376.2828124236671</c:v>
                </c:pt>
                <c:pt idx="48">
                  <c:v>-2412.2034374878667</c:v>
                </c:pt>
                <c:pt idx="49">
                  <c:v>-2445.619671275871</c:v>
                </c:pt>
                <c:pt idx="50">
                  <c:v>-2477.1120658722912</c:v>
                </c:pt>
                <c:pt idx="51">
                  <c:v>-2507.2058225800456</c:v>
                </c:pt>
                <c:pt idx="52">
                  <c:v>-2536.4643988984967</c:v>
                </c:pt>
                <c:pt idx="53">
                  <c:v>-2565.6223825946986</c:v>
                </c:pt>
                <c:pt idx="54">
                  <c:v>-2595.8008913708622</c:v>
                </c:pt>
                <c:pt idx="55">
                  <c:v>-2628.8653396904679</c:v>
                </c:pt>
                <c:pt idx="56">
                  <c:v>-2667.9675964683829</c:v>
                </c:pt>
                <c:pt idx="57">
                  <c:v>-2718.1761378775518</c:v>
                </c:pt>
                <c:pt idx="58">
                  <c:v>-2786.7936262836674</c:v>
                </c:pt>
                <c:pt idx="59">
                  <c:v>-2882.9399467585908</c:v>
                </c:pt>
                <c:pt idx="60">
                  <c:v>-3016.9704773392741</c:v>
                </c:pt>
                <c:pt idx="61">
                  <c:v>-3201.4770737329959</c:v>
                </c:pt>
                <c:pt idx="62">
                  <c:v>-3455.1856055972753</c:v>
                </c:pt>
                <c:pt idx="63">
                  <c:v>-2126.4391326367477</c:v>
                </c:pt>
                <c:pt idx="64">
                  <c:v>-2191.9390920324495</c:v>
                </c:pt>
                <c:pt idx="65">
                  <c:v>-2248.4691683270526</c:v>
                </c:pt>
                <c:pt idx="66">
                  <c:v>-2297.8137697259758</c:v>
                </c:pt>
                <c:pt idx="67">
                  <c:v>-2341.6528129049802</c:v>
                </c:pt>
                <c:pt idx="68">
                  <c:v>-2381.2733488735971</c:v>
                </c:pt>
                <c:pt idx="69">
                  <c:v>-2417.6320303410184</c:v>
                </c:pt>
                <c:pt idx="70">
                  <c:v>-2451.4557791752181</c:v>
                </c:pt>
                <c:pt idx="71">
                  <c:v>-2483.3322273642775</c:v>
                </c:pt>
                <c:pt idx="72">
                  <c:v>-2513.7929811050535</c:v>
                </c:pt>
                <c:pt idx="73">
                  <c:v>-2543.4083693298267</c:v>
                </c:pt>
                <c:pt idx="74">
                  <c:v>-2572.9219381930557</c:v>
                </c:pt>
                <c:pt idx="75">
                  <c:v>-2603.4684775640508</c:v>
                </c:pt>
                <c:pt idx="76">
                  <c:v>-2636.9361508631637</c:v>
                </c:pt>
                <c:pt idx="77">
                  <c:v>-2676.5152644310533</c:v>
                </c:pt>
                <c:pt idx="78">
                  <c:v>-2727.3361051256998</c:v>
                </c:pt>
                <c:pt idx="79">
                  <c:v>-2796.7903921709144</c:v>
                </c:pt>
                <c:pt idx="80">
                  <c:v>-2894.1092287491906</c:v>
                </c:pt>
                <c:pt idx="81">
                  <c:v>-3029.7742779954915</c:v>
                </c:pt>
                <c:pt idx="82">
                  <c:v>-3216.5309548330397</c:v>
                </c:pt>
                <c:pt idx="83">
                  <c:v>-3473.3334931834688</c:v>
                </c:pt>
                <c:pt idx="84">
                  <c:v>-2128.3593773247881</c:v>
                </c:pt>
                <c:pt idx="85">
                  <c:v>-2194.6484928577875</c:v>
                </c:pt>
                <c:pt idx="86">
                  <c:v>-2251.8596544089519</c:v>
                </c:pt>
                <c:pt idx="87">
                  <c:v>-2301.7987690777418</c:v>
                </c:pt>
                <c:pt idx="88">
                  <c:v>-2346.1659934998665</c:v>
                </c:pt>
                <c:pt idx="89">
                  <c:v>-2386.2638853235267</c:v>
                </c:pt>
                <c:pt idx="90">
                  <c:v>-2423.0606231941701</c:v>
                </c:pt>
                <c:pt idx="91">
                  <c:v>-2457.2918870745652</c:v>
                </c:pt>
                <c:pt idx="92">
                  <c:v>-2489.5523888562639</c:v>
                </c:pt>
                <c:pt idx="93">
                  <c:v>-2520.380139630061</c:v>
                </c:pt>
                <c:pt idx="94">
                  <c:v>-2550.3523397611571</c:v>
                </c:pt>
                <c:pt idx="95">
                  <c:v>-2580.2214937914127</c:v>
                </c:pt>
                <c:pt idx="96">
                  <c:v>-2611.1360637572393</c:v>
                </c:pt>
                <c:pt idx="97">
                  <c:v>-2645.0069620358595</c:v>
                </c:pt>
                <c:pt idx="98">
                  <c:v>-2685.0629323937237</c:v>
                </c:pt>
                <c:pt idx="99">
                  <c:v>-2736.4960723738482</c:v>
                </c:pt>
                <c:pt idx="100">
                  <c:v>-2806.7871580581614</c:v>
                </c:pt>
                <c:pt idx="101">
                  <c:v>-2905.2785107397904</c:v>
                </c:pt>
                <c:pt idx="102">
                  <c:v>-3042.5780786517093</c:v>
                </c:pt>
                <c:pt idx="103">
                  <c:v>-3231.584835933083</c:v>
                </c:pt>
                <c:pt idx="104">
                  <c:v>-3491.4813807696619</c:v>
                </c:pt>
                <c:pt idx="105">
                  <c:v>-2130.2796220128284</c:v>
                </c:pt>
                <c:pt idx="106">
                  <c:v>-2197.357893683125</c:v>
                </c:pt>
                <c:pt idx="107">
                  <c:v>-2255.2501404908512</c:v>
                </c:pt>
                <c:pt idx="108">
                  <c:v>-2305.7837684295073</c:v>
                </c:pt>
                <c:pt idx="109">
                  <c:v>-2350.6791740947529</c:v>
                </c:pt>
                <c:pt idx="110">
                  <c:v>-2391.2544217734567</c:v>
                </c:pt>
                <c:pt idx="111">
                  <c:v>-2428.4892160473219</c:v>
                </c:pt>
                <c:pt idx="112">
                  <c:v>-2463.1279949739123</c:v>
                </c:pt>
                <c:pt idx="113">
                  <c:v>-2495.7725503482502</c:v>
                </c:pt>
                <c:pt idx="114">
                  <c:v>-2526.9672981550684</c:v>
                </c:pt>
                <c:pt idx="115">
                  <c:v>-2557.2963101924875</c:v>
                </c:pt>
                <c:pt idx="116">
                  <c:v>-2587.5210493897698</c:v>
                </c:pt>
                <c:pt idx="117">
                  <c:v>-2618.8036499504274</c:v>
                </c:pt>
                <c:pt idx="118">
                  <c:v>-2653.0777732085553</c:v>
                </c:pt>
                <c:pt idx="119">
                  <c:v>-2693.6106003563937</c:v>
                </c:pt>
                <c:pt idx="120">
                  <c:v>-2745.6560396219961</c:v>
                </c:pt>
                <c:pt idx="121">
                  <c:v>-2816.7839239454083</c:v>
                </c:pt>
                <c:pt idx="122">
                  <c:v>-2916.4477927303901</c:v>
                </c:pt>
                <c:pt idx="123">
                  <c:v>-3055.3818793079272</c:v>
                </c:pt>
                <c:pt idx="124">
                  <c:v>-3246.6387170331268</c:v>
                </c:pt>
                <c:pt idx="125">
                  <c:v>-3509.6292683558554</c:v>
                </c:pt>
                <c:pt idx="126">
                  <c:v>-2132.1998667008684</c:v>
                </c:pt>
                <c:pt idx="127">
                  <c:v>-2200.067294508463</c:v>
                </c:pt>
                <c:pt idx="128">
                  <c:v>-2258.6406265727505</c:v>
                </c:pt>
                <c:pt idx="129">
                  <c:v>-2309.7687677812733</c:v>
                </c:pt>
                <c:pt idx="130">
                  <c:v>-2355.1923546896392</c:v>
                </c:pt>
                <c:pt idx="131">
                  <c:v>-2396.2449582233867</c:v>
                </c:pt>
                <c:pt idx="132">
                  <c:v>-2433.917808900474</c:v>
                </c:pt>
                <c:pt idx="133">
                  <c:v>-2468.9641028732594</c:v>
                </c:pt>
                <c:pt idx="134">
                  <c:v>-2501.9927118402366</c:v>
                </c:pt>
                <c:pt idx="135">
                  <c:v>-2533.5544566800763</c:v>
                </c:pt>
                <c:pt idx="136">
                  <c:v>-2564.2402806238174</c:v>
                </c:pt>
                <c:pt idx="137">
                  <c:v>-2594.8206049881269</c:v>
                </c:pt>
                <c:pt idx="138">
                  <c:v>-2626.4712361436159</c:v>
                </c:pt>
                <c:pt idx="139">
                  <c:v>-2661.1485843812511</c:v>
                </c:pt>
                <c:pt idx="140">
                  <c:v>-2702.1582683190641</c:v>
                </c:pt>
                <c:pt idx="141">
                  <c:v>-2754.8160068701441</c:v>
                </c:pt>
                <c:pt idx="142">
                  <c:v>-2826.7806898326553</c:v>
                </c:pt>
                <c:pt idx="143">
                  <c:v>-2927.6170747209894</c:v>
                </c:pt>
                <c:pt idx="144">
                  <c:v>-3068.185679964145</c:v>
                </c:pt>
                <c:pt idx="145">
                  <c:v>-3261.6925981331701</c:v>
                </c:pt>
                <c:pt idx="146">
                  <c:v>-3527.7771559420485</c:v>
                </c:pt>
                <c:pt idx="147">
                  <c:v>-2134.1201113889088</c:v>
                </c:pt>
                <c:pt idx="148">
                  <c:v>-2202.7766953338005</c:v>
                </c:pt>
                <c:pt idx="149">
                  <c:v>-2262.0311126546494</c:v>
                </c:pt>
                <c:pt idx="150">
                  <c:v>-2313.7537671330392</c:v>
                </c:pt>
                <c:pt idx="151">
                  <c:v>-2359.7055352845255</c:v>
                </c:pt>
                <c:pt idx="152">
                  <c:v>-2401.2354946733167</c:v>
                </c:pt>
                <c:pt idx="153">
                  <c:v>-2439.3464017536257</c:v>
                </c:pt>
                <c:pt idx="154">
                  <c:v>-2474.8002107726065</c:v>
                </c:pt>
                <c:pt idx="155">
                  <c:v>-2508.2128733322224</c:v>
                </c:pt>
                <c:pt idx="156">
                  <c:v>-2540.1416152050842</c:v>
                </c:pt>
                <c:pt idx="157">
                  <c:v>-2571.1842510551478</c:v>
                </c:pt>
                <c:pt idx="158">
                  <c:v>-2602.120160586484</c:v>
                </c:pt>
                <c:pt idx="159">
                  <c:v>-2634.1388223368044</c:v>
                </c:pt>
                <c:pt idx="160">
                  <c:v>-2669.2193955539469</c:v>
                </c:pt>
                <c:pt idx="161">
                  <c:v>-2710.7059362817345</c:v>
                </c:pt>
                <c:pt idx="162">
                  <c:v>-2763.975974118292</c:v>
                </c:pt>
                <c:pt idx="163">
                  <c:v>-2836.7774557199023</c:v>
                </c:pt>
                <c:pt idx="164">
                  <c:v>-2938.7863567115892</c:v>
                </c:pt>
                <c:pt idx="165">
                  <c:v>-3080.9894806203629</c:v>
                </c:pt>
                <c:pt idx="166">
                  <c:v>-3276.7464792332139</c:v>
                </c:pt>
                <c:pt idx="167">
                  <c:v>-3545.925043528242</c:v>
                </c:pt>
                <c:pt idx="168">
                  <c:v>-2136.0403560769487</c:v>
                </c:pt>
                <c:pt idx="169">
                  <c:v>-2205.4860961591385</c:v>
                </c:pt>
                <c:pt idx="170">
                  <c:v>-2265.4215987365487</c:v>
                </c:pt>
                <c:pt idx="171">
                  <c:v>-2317.7387664848047</c:v>
                </c:pt>
                <c:pt idx="172">
                  <c:v>-2364.2187158794118</c:v>
                </c:pt>
                <c:pt idx="173">
                  <c:v>-2406.2260311232467</c:v>
                </c:pt>
                <c:pt idx="174">
                  <c:v>-2444.7749946067775</c:v>
                </c:pt>
                <c:pt idx="175">
                  <c:v>-2480.6363186719536</c:v>
                </c:pt>
                <c:pt idx="176">
                  <c:v>-2514.4330348242088</c:v>
                </c:pt>
                <c:pt idx="177">
                  <c:v>-2546.7287737300917</c:v>
                </c:pt>
                <c:pt idx="178">
                  <c:v>-2578.1282214864782</c:v>
                </c:pt>
                <c:pt idx="179">
                  <c:v>-2609.419716184841</c:v>
                </c:pt>
                <c:pt idx="180">
                  <c:v>-2641.8064085299925</c:v>
                </c:pt>
                <c:pt idx="181">
                  <c:v>-2677.2902067266423</c:v>
                </c:pt>
                <c:pt idx="182">
                  <c:v>-2719.2536042444049</c:v>
                </c:pt>
                <c:pt idx="183">
                  <c:v>-2773.13594136644</c:v>
                </c:pt>
                <c:pt idx="184">
                  <c:v>-2846.7742216071492</c:v>
                </c:pt>
                <c:pt idx="185">
                  <c:v>-2949.9556387021889</c:v>
                </c:pt>
                <c:pt idx="186">
                  <c:v>-3093.7932812765803</c:v>
                </c:pt>
                <c:pt idx="187">
                  <c:v>-3291.8003603332577</c:v>
                </c:pt>
                <c:pt idx="188">
                  <c:v>-3564.0729311144351</c:v>
                </c:pt>
                <c:pt idx="189">
                  <c:v>-2137.9606007649891</c:v>
                </c:pt>
                <c:pt idx="190">
                  <c:v>-2208.195496984476</c:v>
                </c:pt>
                <c:pt idx="191">
                  <c:v>-2268.8120848184481</c:v>
                </c:pt>
                <c:pt idx="192">
                  <c:v>-2321.7237658365707</c:v>
                </c:pt>
                <c:pt idx="193">
                  <c:v>-2368.7318964742981</c:v>
                </c:pt>
                <c:pt idx="194">
                  <c:v>-2411.2165675731762</c:v>
                </c:pt>
                <c:pt idx="195">
                  <c:v>-2450.2035874599296</c:v>
                </c:pt>
                <c:pt idx="196">
                  <c:v>-2486.4724265713003</c:v>
                </c:pt>
                <c:pt idx="197">
                  <c:v>-2520.6531963161951</c:v>
                </c:pt>
                <c:pt idx="198">
                  <c:v>-2553.3159322550996</c:v>
                </c:pt>
                <c:pt idx="199">
                  <c:v>-2585.0721919178086</c:v>
                </c:pt>
                <c:pt idx="200">
                  <c:v>-2616.7192717831981</c:v>
                </c:pt>
                <c:pt idx="201">
                  <c:v>-2649.473994723181</c:v>
                </c:pt>
                <c:pt idx="202">
                  <c:v>-2685.3610178993381</c:v>
                </c:pt>
                <c:pt idx="203">
                  <c:v>-2727.8012722070753</c:v>
                </c:pt>
                <c:pt idx="204">
                  <c:v>-2782.2959086145879</c:v>
                </c:pt>
                <c:pt idx="205">
                  <c:v>-2856.7709874943962</c:v>
                </c:pt>
                <c:pt idx="206">
                  <c:v>-2961.1249206927887</c:v>
                </c:pt>
                <c:pt idx="207">
                  <c:v>-3106.5970819327981</c:v>
                </c:pt>
                <c:pt idx="208">
                  <c:v>-3306.854241433301</c:v>
                </c:pt>
                <c:pt idx="209">
                  <c:v>-3582.2208187006286</c:v>
                </c:pt>
                <c:pt idx="210">
                  <c:v>-2139.880845453029</c:v>
                </c:pt>
                <c:pt idx="211">
                  <c:v>-2210.904897809814</c:v>
                </c:pt>
                <c:pt idx="212">
                  <c:v>-2272.2025709003474</c:v>
                </c:pt>
                <c:pt idx="213">
                  <c:v>-2325.7087651883367</c:v>
                </c:pt>
                <c:pt idx="214">
                  <c:v>-2373.2450770691844</c:v>
                </c:pt>
                <c:pt idx="215">
                  <c:v>-2416.2071040231062</c:v>
                </c:pt>
                <c:pt idx="216">
                  <c:v>-2455.6321803130813</c:v>
                </c:pt>
                <c:pt idx="217">
                  <c:v>-2492.3085344706474</c:v>
                </c:pt>
                <c:pt idx="218">
                  <c:v>-2526.8733578081815</c:v>
                </c:pt>
                <c:pt idx="219">
                  <c:v>-2559.903090780107</c:v>
                </c:pt>
                <c:pt idx="220">
                  <c:v>-2592.0161623491385</c:v>
                </c:pt>
                <c:pt idx="221">
                  <c:v>-2624.0188273815552</c:v>
                </c:pt>
                <c:pt idx="222">
                  <c:v>-2657.1415809163695</c:v>
                </c:pt>
                <c:pt idx="223">
                  <c:v>-2693.4318290720339</c:v>
                </c:pt>
                <c:pt idx="224">
                  <c:v>-2736.3489401697457</c:v>
                </c:pt>
                <c:pt idx="225">
                  <c:v>-2791.4558758627359</c:v>
                </c:pt>
                <c:pt idx="226">
                  <c:v>-2866.7677533816432</c:v>
                </c:pt>
                <c:pt idx="227">
                  <c:v>-2972.2942026833884</c:v>
                </c:pt>
                <c:pt idx="228">
                  <c:v>-3119.400882589016</c:v>
                </c:pt>
                <c:pt idx="229">
                  <c:v>-3321.9081225333448</c:v>
                </c:pt>
                <c:pt idx="230">
                  <c:v>-3600.3687062868221</c:v>
                </c:pt>
                <c:pt idx="231">
                  <c:v>-2141.8010901410694</c:v>
                </c:pt>
                <c:pt idx="232">
                  <c:v>-2213.6142986351515</c:v>
                </c:pt>
                <c:pt idx="233">
                  <c:v>-2275.5930569822467</c:v>
                </c:pt>
                <c:pt idx="234">
                  <c:v>-2329.6937645401022</c:v>
                </c:pt>
                <c:pt idx="235">
                  <c:v>-2377.7582576640707</c:v>
                </c:pt>
                <c:pt idx="236">
                  <c:v>-2421.1976404730362</c:v>
                </c:pt>
                <c:pt idx="237">
                  <c:v>-2461.060773166233</c:v>
                </c:pt>
                <c:pt idx="238">
                  <c:v>-2498.1446423699945</c:v>
                </c:pt>
                <c:pt idx="239">
                  <c:v>-2533.0935193001678</c:v>
                </c:pt>
                <c:pt idx="240">
                  <c:v>-2566.490249305115</c:v>
                </c:pt>
                <c:pt idx="241">
                  <c:v>-2598.9601327804689</c:v>
                </c:pt>
                <c:pt idx="242">
                  <c:v>-2631.3183829799127</c:v>
                </c:pt>
                <c:pt idx="243">
                  <c:v>-2664.8091671095576</c:v>
                </c:pt>
                <c:pt idx="244">
                  <c:v>-2701.5026402447297</c:v>
                </c:pt>
                <c:pt idx="245">
                  <c:v>-2744.8966081324156</c:v>
                </c:pt>
                <c:pt idx="246">
                  <c:v>-2800.6158431108838</c:v>
                </c:pt>
                <c:pt idx="247">
                  <c:v>-2876.7645192688897</c:v>
                </c:pt>
                <c:pt idx="248">
                  <c:v>-2983.4634846739878</c:v>
                </c:pt>
                <c:pt idx="249">
                  <c:v>-3132.2046832452338</c:v>
                </c:pt>
                <c:pt idx="250">
                  <c:v>-3336.9620036333881</c:v>
                </c:pt>
                <c:pt idx="251">
                  <c:v>-3618.5165938730152</c:v>
                </c:pt>
                <c:pt idx="252">
                  <c:v>-2143.7213348291093</c:v>
                </c:pt>
                <c:pt idx="253">
                  <c:v>-2216.3236994604895</c:v>
                </c:pt>
                <c:pt idx="254">
                  <c:v>-2278.983543064146</c:v>
                </c:pt>
                <c:pt idx="255">
                  <c:v>-2333.6787638918681</c:v>
                </c:pt>
                <c:pt idx="256">
                  <c:v>-2382.271438258957</c:v>
                </c:pt>
                <c:pt idx="257">
                  <c:v>-2426.1881769229662</c:v>
                </c:pt>
                <c:pt idx="258">
                  <c:v>-2466.4893660193852</c:v>
                </c:pt>
                <c:pt idx="259">
                  <c:v>-2503.9807502693416</c:v>
                </c:pt>
                <c:pt idx="260">
                  <c:v>-2539.3136807921542</c:v>
                </c:pt>
                <c:pt idx="261">
                  <c:v>-2573.0774078301224</c:v>
                </c:pt>
                <c:pt idx="262">
                  <c:v>-2605.9041032117993</c:v>
                </c:pt>
                <c:pt idx="263">
                  <c:v>-2638.6179385782698</c:v>
                </c:pt>
                <c:pt idx="264">
                  <c:v>-2672.4767533027461</c:v>
                </c:pt>
                <c:pt idx="265">
                  <c:v>-2709.5734514174255</c:v>
                </c:pt>
                <c:pt idx="266">
                  <c:v>-2753.444276095086</c:v>
                </c:pt>
                <c:pt idx="267">
                  <c:v>-2809.7758103590318</c:v>
                </c:pt>
                <c:pt idx="268">
                  <c:v>-2886.7612851561366</c:v>
                </c:pt>
                <c:pt idx="269">
                  <c:v>-2994.6327666645875</c:v>
                </c:pt>
                <c:pt idx="270">
                  <c:v>-3145.0084839014517</c:v>
                </c:pt>
                <c:pt idx="271">
                  <c:v>-3352.0158847334319</c:v>
                </c:pt>
                <c:pt idx="272">
                  <c:v>-3636.6644814592087</c:v>
                </c:pt>
                <c:pt idx="273">
                  <c:v>-2145.6415795171497</c:v>
                </c:pt>
                <c:pt idx="274">
                  <c:v>-2219.0331002858275</c:v>
                </c:pt>
                <c:pt idx="275">
                  <c:v>-2282.3740291460454</c:v>
                </c:pt>
                <c:pt idx="276">
                  <c:v>-2337.6637632436336</c:v>
                </c:pt>
                <c:pt idx="277">
                  <c:v>-2386.7846188538433</c:v>
                </c:pt>
                <c:pt idx="278">
                  <c:v>-2431.1787133728963</c:v>
                </c:pt>
                <c:pt idx="279">
                  <c:v>-2471.9179588725369</c:v>
                </c:pt>
                <c:pt idx="280">
                  <c:v>-2509.8168581686887</c:v>
                </c:pt>
                <c:pt idx="281">
                  <c:v>-2545.5338422841405</c:v>
                </c:pt>
                <c:pt idx="282">
                  <c:v>-2579.6645663551303</c:v>
                </c:pt>
                <c:pt idx="283">
                  <c:v>-2612.8480736431293</c:v>
                </c:pt>
                <c:pt idx="284">
                  <c:v>-2645.9174941766269</c:v>
                </c:pt>
                <c:pt idx="285">
                  <c:v>-2680.1443394959347</c:v>
                </c:pt>
                <c:pt idx="286">
                  <c:v>-2717.6442625901213</c:v>
                </c:pt>
                <c:pt idx="287">
                  <c:v>-2761.9919440577564</c:v>
                </c:pt>
                <c:pt idx="288">
                  <c:v>-2818.9357776071797</c:v>
                </c:pt>
                <c:pt idx="289">
                  <c:v>-2896.7580510433841</c:v>
                </c:pt>
                <c:pt idx="290">
                  <c:v>-3005.8020486551873</c:v>
                </c:pt>
                <c:pt idx="291">
                  <c:v>-3157.812284557669</c:v>
                </c:pt>
                <c:pt idx="292">
                  <c:v>-3367.0697658334757</c:v>
                </c:pt>
                <c:pt idx="293">
                  <c:v>-3654.8123690454017</c:v>
                </c:pt>
                <c:pt idx="294">
                  <c:v>-2147.5618242051901</c:v>
                </c:pt>
                <c:pt idx="295">
                  <c:v>-2221.742501111165</c:v>
                </c:pt>
                <c:pt idx="296">
                  <c:v>-2285.7645152279442</c:v>
                </c:pt>
                <c:pt idx="297">
                  <c:v>-2341.6487625953996</c:v>
                </c:pt>
                <c:pt idx="298">
                  <c:v>-2391.2977994487296</c:v>
                </c:pt>
                <c:pt idx="299">
                  <c:v>-2436.1692498228258</c:v>
                </c:pt>
                <c:pt idx="300">
                  <c:v>-2477.3465517256886</c:v>
                </c:pt>
                <c:pt idx="301">
                  <c:v>-2515.6529660680358</c:v>
                </c:pt>
                <c:pt idx="302">
                  <c:v>-2551.7540037761269</c:v>
                </c:pt>
                <c:pt idx="303">
                  <c:v>-2586.2517248801378</c:v>
                </c:pt>
                <c:pt idx="304">
                  <c:v>-2619.7920440744597</c:v>
                </c:pt>
                <c:pt idx="305">
                  <c:v>-2653.2170497749839</c:v>
                </c:pt>
                <c:pt idx="306">
                  <c:v>-2687.8119256891227</c:v>
                </c:pt>
                <c:pt idx="307">
                  <c:v>-2725.7150737628172</c:v>
                </c:pt>
                <c:pt idx="308">
                  <c:v>-2770.5396120204268</c:v>
                </c:pt>
                <c:pt idx="309">
                  <c:v>-2828.0957448553277</c:v>
                </c:pt>
                <c:pt idx="310">
                  <c:v>-2906.754816930631</c:v>
                </c:pt>
                <c:pt idx="311">
                  <c:v>-3016.971330645787</c:v>
                </c:pt>
                <c:pt idx="312">
                  <c:v>-3170.6160852138869</c:v>
                </c:pt>
                <c:pt idx="313">
                  <c:v>-3382.123646933519</c:v>
                </c:pt>
                <c:pt idx="314">
                  <c:v>-3672.9602566315953</c:v>
                </c:pt>
                <c:pt idx="315">
                  <c:v>-2149.48206889323</c:v>
                </c:pt>
                <c:pt idx="316">
                  <c:v>-2224.451901936503</c:v>
                </c:pt>
                <c:pt idx="317">
                  <c:v>-2289.1550013098436</c:v>
                </c:pt>
                <c:pt idx="318">
                  <c:v>-2345.6337619471656</c:v>
                </c:pt>
                <c:pt idx="319">
                  <c:v>-2395.8109800436159</c:v>
                </c:pt>
                <c:pt idx="320">
                  <c:v>-2441.1597862727558</c:v>
                </c:pt>
                <c:pt idx="321">
                  <c:v>-2482.7751445788404</c:v>
                </c:pt>
                <c:pt idx="322">
                  <c:v>-2521.4890739673824</c:v>
                </c:pt>
                <c:pt idx="323">
                  <c:v>-2557.9741652681128</c:v>
                </c:pt>
                <c:pt idx="324">
                  <c:v>-2592.8388834051457</c:v>
                </c:pt>
                <c:pt idx="325">
                  <c:v>-2626.7360145057901</c:v>
                </c:pt>
                <c:pt idx="326">
                  <c:v>-2660.516605373341</c:v>
                </c:pt>
                <c:pt idx="327">
                  <c:v>-2695.4795118823113</c:v>
                </c:pt>
                <c:pt idx="328">
                  <c:v>-2733.785884935513</c:v>
                </c:pt>
                <c:pt idx="329">
                  <c:v>-2779.0872799830972</c:v>
                </c:pt>
                <c:pt idx="330">
                  <c:v>-2837.2557121034756</c:v>
                </c:pt>
                <c:pt idx="331">
                  <c:v>-2916.751582817878</c:v>
                </c:pt>
                <c:pt idx="332">
                  <c:v>-3028.1406126363863</c:v>
                </c:pt>
                <c:pt idx="333">
                  <c:v>-3183.4198858701047</c:v>
                </c:pt>
                <c:pt idx="334">
                  <c:v>-3397.1775280335628</c:v>
                </c:pt>
                <c:pt idx="335">
                  <c:v>-3691.1081442177888</c:v>
                </c:pt>
                <c:pt idx="336">
                  <c:v>-2151.4023135812704</c:v>
                </c:pt>
                <c:pt idx="337">
                  <c:v>-2227.1613027618405</c:v>
                </c:pt>
                <c:pt idx="338">
                  <c:v>-2292.5454873917429</c:v>
                </c:pt>
                <c:pt idx="339">
                  <c:v>-2349.6187612989311</c:v>
                </c:pt>
                <c:pt idx="340">
                  <c:v>-2400.3241606385027</c:v>
                </c:pt>
                <c:pt idx="341">
                  <c:v>-2446.1503227226858</c:v>
                </c:pt>
                <c:pt idx="342">
                  <c:v>-2488.2037374319925</c:v>
                </c:pt>
                <c:pt idx="343">
                  <c:v>-2527.3251818667295</c:v>
                </c:pt>
                <c:pt idx="344">
                  <c:v>-2564.1943267600991</c:v>
                </c:pt>
                <c:pt idx="345">
                  <c:v>-2599.4260419301531</c:v>
                </c:pt>
                <c:pt idx="346">
                  <c:v>-2633.67998493712</c:v>
                </c:pt>
                <c:pt idx="347">
                  <c:v>-2667.8161609716981</c:v>
                </c:pt>
                <c:pt idx="348">
                  <c:v>-2703.1470980754998</c:v>
                </c:pt>
                <c:pt idx="349">
                  <c:v>-2741.8566961082083</c:v>
                </c:pt>
                <c:pt idx="350">
                  <c:v>-2787.6349479457676</c:v>
                </c:pt>
                <c:pt idx="351">
                  <c:v>-2846.415679351624</c:v>
                </c:pt>
                <c:pt idx="352">
                  <c:v>-2926.748348705125</c:v>
                </c:pt>
                <c:pt idx="353">
                  <c:v>-3039.3098946269861</c:v>
                </c:pt>
                <c:pt idx="354">
                  <c:v>-3196.2236865263226</c:v>
                </c:pt>
                <c:pt idx="355">
                  <c:v>-3412.2314091336061</c:v>
                </c:pt>
                <c:pt idx="356">
                  <c:v>-3709.2560318039818</c:v>
                </c:pt>
                <c:pt idx="357">
                  <c:v>-2153.3225582693103</c:v>
                </c:pt>
                <c:pt idx="358">
                  <c:v>-2229.8707035871785</c:v>
                </c:pt>
                <c:pt idx="359">
                  <c:v>-2295.9359734736422</c:v>
                </c:pt>
                <c:pt idx="360">
                  <c:v>-2353.603760650697</c:v>
                </c:pt>
                <c:pt idx="361">
                  <c:v>-2404.837341233389</c:v>
                </c:pt>
                <c:pt idx="362">
                  <c:v>-2451.1408591726158</c:v>
                </c:pt>
                <c:pt idx="363">
                  <c:v>-2493.6323302851442</c:v>
                </c:pt>
                <c:pt idx="364">
                  <c:v>-2533.1612897660766</c:v>
                </c:pt>
                <c:pt idx="365">
                  <c:v>-2570.4144882520854</c:v>
                </c:pt>
                <c:pt idx="366">
                  <c:v>-2606.013200455161</c:v>
                </c:pt>
                <c:pt idx="367">
                  <c:v>-2640.6239553684504</c:v>
                </c:pt>
                <c:pt idx="368">
                  <c:v>-2675.1157165700552</c:v>
                </c:pt>
                <c:pt idx="369">
                  <c:v>-2710.8146842686879</c:v>
                </c:pt>
                <c:pt idx="370">
                  <c:v>-2749.9275072809041</c:v>
                </c:pt>
                <c:pt idx="371">
                  <c:v>-2796.1826159084376</c:v>
                </c:pt>
                <c:pt idx="372">
                  <c:v>-2855.575646599772</c:v>
                </c:pt>
                <c:pt idx="373">
                  <c:v>-2936.7451145923715</c:v>
                </c:pt>
                <c:pt idx="374">
                  <c:v>-3050.4791766175858</c:v>
                </c:pt>
                <c:pt idx="375">
                  <c:v>-3209.0274871825404</c:v>
                </c:pt>
                <c:pt idx="376">
                  <c:v>-3427.2852902336499</c:v>
                </c:pt>
                <c:pt idx="377">
                  <c:v>-3727.4039193901754</c:v>
                </c:pt>
                <c:pt idx="378">
                  <c:v>-2155.2428029573507</c:v>
                </c:pt>
                <c:pt idx="379">
                  <c:v>-2232.5801044125164</c:v>
                </c:pt>
                <c:pt idx="380">
                  <c:v>-2299.3264595555415</c:v>
                </c:pt>
                <c:pt idx="381">
                  <c:v>-2357.588760002463</c:v>
                </c:pt>
                <c:pt idx="382">
                  <c:v>-2409.3505218282753</c:v>
                </c:pt>
                <c:pt idx="383">
                  <c:v>-2456.1313956225454</c:v>
                </c:pt>
                <c:pt idx="384">
                  <c:v>-2499.0609231382959</c:v>
                </c:pt>
                <c:pt idx="385">
                  <c:v>-2538.9973976654237</c:v>
                </c:pt>
                <c:pt idx="386">
                  <c:v>-2576.6346497440718</c:v>
                </c:pt>
                <c:pt idx="387">
                  <c:v>-2612.6003589801685</c:v>
                </c:pt>
                <c:pt idx="388">
                  <c:v>-2647.5679257997808</c:v>
                </c:pt>
                <c:pt idx="389">
                  <c:v>-2682.4152721684122</c:v>
                </c:pt>
                <c:pt idx="390">
                  <c:v>-2718.4822704618764</c:v>
                </c:pt>
                <c:pt idx="391">
                  <c:v>-2757.9983184535999</c:v>
                </c:pt>
                <c:pt idx="392">
                  <c:v>-2804.730283871108</c:v>
                </c:pt>
                <c:pt idx="393">
                  <c:v>-2864.7356138479199</c:v>
                </c:pt>
                <c:pt idx="394">
                  <c:v>-2946.7418804796184</c:v>
                </c:pt>
                <c:pt idx="395">
                  <c:v>-3061.6484586081856</c:v>
                </c:pt>
                <c:pt idx="396">
                  <c:v>-3221.8312878387578</c:v>
                </c:pt>
                <c:pt idx="397">
                  <c:v>-3442.3391713336937</c:v>
                </c:pt>
                <c:pt idx="398">
                  <c:v>-3745.5518069763689</c:v>
                </c:pt>
                <c:pt idx="399">
                  <c:v>-2157.1630476453906</c:v>
                </c:pt>
                <c:pt idx="400">
                  <c:v>-2235.289505237854</c:v>
                </c:pt>
                <c:pt idx="401">
                  <c:v>-2302.7169456374409</c:v>
                </c:pt>
                <c:pt idx="402">
                  <c:v>-2361.5737593542285</c:v>
                </c:pt>
                <c:pt idx="403">
                  <c:v>-2413.8637024231616</c:v>
                </c:pt>
                <c:pt idx="404">
                  <c:v>-2461.1219320724754</c:v>
                </c:pt>
                <c:pt idx="405">
                  <c:v>-2504.4895159914481</c:v>
                </c:pt>
                <c:pt idx="406">
                  <c:v>-2544.8335055647708</c:v>
                </c:pt>
                <c:pt idx="407">
                  <c:v>-2582.8548112360581</c:v>
                </c:pt>
                <c:pt idx="408">
                  <c:v>-2619.1875175051764</c:v>
                </c:pt>
                <c:pt idx="409">
                  <c:v>-2654.5118962311108</c:v>
                </c:pt>
                <c:pt idx="410">
                  <c:v>-2689.7148277667693</c:v>
                </c:pt>
                <c:pt idx="411">
                  <c:v>-2726.1498566550649</c:v>
                </c:pt>
                <c:pt idx="412">
                  <c:v>-2766.0691296262958</c:v>
                </c:pt>
                <c:pt idx="413">
                  <c:v>-2813.2779518337784</c:v>
                </c:pt>
                <c:pt idx="414">
                  <c:v>-2873.8955810960679</c:v>
                </c:pt>
                <c:pt idx="415">
                  <c:v>-2956.7386463668654</c:v>
                </c:pt>
                <c:pt idx="416">
                  <c:v>-3072.8177405987853</c:v>
                </c:pt>
                <c:pt idx="417">
                  <c:v>-3234.6350884949757</c:v>
                </c:pt>
                <c:pt idx="418">
                  <c:v>-3457.393052433737</c:v>
                </c:pt>
                <c:pt idx="419">
                  <c:v>-3763.6996945625619</c:v>
                </c:pt>
                <c:pt idx="420">
                  <c:v>-2159.083292333431</c:v>
                </c:pt>
                <c:pt idx="421">
                  <c:v>-2237.998906063192</c:v>
                </c:pt>
                <c:pt idx="422">
                  <c:v>-2306.1074317193402</c:v>
                </c:pt>
                <c:pt idx="423">
                  <c:v>-2365.5587587059945</c:v>
                </c:pt>
                <c:pt idx="424">
                  <c:v>-2418.3768830180479</c:v>
                </c:pt>
                <c:pt idx="425">
                  <c:v>-2466.1124685224054</c:v>
                </c:pt>
                <c:pt idx="426">
                  <c:v>-2509.9181088445998</c:v>
                </c:pt>
                <c:pt idx="427">
                  <c:v>-2550.6696134641179</c:v>
                </c:pt>
                <c:pt idx="428">
                  <c:v>-2589.0749727280445</c:v>
                </c:pt>
                <c:pt idx="429">
                  <c:v>-2625.7746760301839</c:v>
                </c:pt>
                <c:pt idx="430">
                  <c:v>-2661.4558666624412</c:v>
                </c:pt>
                <c:pt idx="431">
                  <c:v>-2697.0143833651264</c:v>
                </c:pt>
                <c:pt idx="432">
                  <c:v>-2733.817442848253</c:v>
                </c:pt>
                <c:pt idx="433">
                  <c:v>-2774.1399407989916</c:v>
                </c:pt>
                <c:pt idx="434">
                  <c:v>-2821.8256197964488</c:v>
                </c:pt>
                <c:pt idx="435">
                  <c:v>-2883.0555483442158</c:v>
                </c:pt>
                <c:pt idx="436">
                  <c:v>-2966.7354122541124</c:v>
                </c:pt>
                <c:pt idx="437">
                  <c:v>-3083.9870225893851</c:v>
                </c:pt>
                <c:pt idx="438">
                  <c:v>-3247.4388891511935</c:v>
                </c:pt>
                <c:pt idx="439">
                  <c:v>-3472.4469335337808</c:v>
                </c:pt>
                <c:pt idx="440">
                  <c:v>-3781.847582148755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05-452D-91C0-E200FE57A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530095"/>
        <c:axId val="1480923103"/>
      </c:scatterChart>
      <c:valAx>
        <c:axId val="1385530095"/>
        <c:scaling>
          <c:orientation val="minMax"/>
          <c:min val="1.15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Rf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0923103"/>
        <c:crosses val="autoZero"/>
        <c:crossBetween val="midCat"/>
      </c:valAx>
      <c:valAx>
        <c:axId val="148092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500"/>
                  <a:t>Qc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530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optimization!$B$15</c:f>
              <c:strCache>
                <c:ptCount val="1"/>
                <c:pt idx="0">
                  <c:v>348.56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optimization!$C$11:$C$20000</c:f>
              <c:numCache>
                <c:formatCode>General</c:formatCode>
                <c:ptCount val="19990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1.2149999999999999</c:v>
                </c:pt>
                <c:pt idx="22">
                  <c:v>1.2149999999999999</c:v>
                </c:pt>
                <c:pt idx="23">
                  <c:v>1.2149999999999999</c:v>
                </c:pt>
                <c:pt idx="24">
                  <c:v>1.2149999999999999</c:v>
                </c:pt>
                <c:pt idx="25">
                  <c:v>1.2149999999999999</c:v>
                </c:pt>
                <c:pt idx="26">
                  <c:v>1.2149999999999999</c:v>
                </c:pt>
                <c:pt idx="27">
                  <c:v>1.2149999999999999</c:v>
                </c:pt>
                <c:pt idx="28">
                  <c:v>1.2149999999999999</c:v>
                </c:pt>
                <c:pt idx="29">
                  <c:v>1.2149999999999999</c:v>
                </c:pt>
                <c:pt idx="30">
                  <c:v>1.2149999999999999</c:v>
                </c:pt>
                <c:pt idx="31">
                  <c:v>1.2149999999999999</c:v>
                </c:pt>
                <c:pt idx="32">
                  <c:v>1.2149999999999999</c:v>
                </c:pt>
                <c:pt idx="33">
                  <c:v>1.2149999999999999</c:v>
                </c:pt>
                <c:pt idx="34">
                  <c:v>1.2149999999999999</c:v>
                </c:pt>
                <c:pt idx="35">
                  <c:v>1.2149999999999999</c:v>
                </c:pt>
                <c:pt idx="36">
                  <c:v>1.2149999999999999</c:v>
                </c:pt>
                <c:pt idx="37">
                  <c:v>1.2149999999999999</c:v>
                </c:pt>
                <c:pt idx="38">
                  <c:v>1.2149999999999999</c:v>
                </c:pt>
                <c:pt idx="39">
                  <c:v>1.2149999999999999</c:v>
                </c:pt>
                <c:pt idx="40">
                  <c:v>1.2149999999999999</c:v>
                </c:pt>
                <c:pt idx="41">
                  <c:v>1.2149999999999999</c:v>
                </c:pt>
                <c:pt idx="42">
                  <c:v>1.2299999999999998</c:v>
                </c:pt>
                <c:pt idx="43">
                  <c:v>1.2299999999999998</c:v>
                </c:pt>
                <c:pt idx="44">
                  <c:v>1.2299999999999998</c:v>
                </c:pt>
                <c:pt idx="45">
                  <c:v>1.2299999999999998</c:v>
                </c:pt>
                <c:pt idx="46">
                  <c:v>1.2299999999999998</c:v>
                </c:pt>
                <c:pt idx="47">
                  <c:v>1.2299999999999998</c:v>
                </c:pt>
                <c:pt idx="48">
                  <c:v>1.2299999999999998</c:v>
                </c:pt>
                <c:pt idx="49">
                  <c:v>1.2299999999999998</c:v>
                </c:pt>
                <c:pt idx="50">
                  <c:v>1.2299999999999998</c:v>
                </c:pt>
                <c:pt idx="51">
                  <c:v>1.2299999999999998</c:v>
                </c:pt>
                <c:pt idx="52">
                  <c:v>1.2299999999999998</c:v>
                </c:pt>
                <c:pt idx="53">
                  <c:v>1.2299999999999998</c:v>
                </c:pt>
                <c:pt idx="54">
                  <c:v>1.2299999999999998</c:v>
                </c:pt>
                <c:pt idx="55">
                  <c:v>1.2299999999999998</c:v>
                </c:pt>
                <c:pt idx="56">
                  <c:v>1.2299999999999998</c:v>
                </c:pt>
                <c:pt idx="57">
                  <c:v>1.2299999999999998</c:v>
                </c:pt>
                <c:pt idx="58">
                  <c:v>1.2299999999999998</c:v>
                </c:pt>
                <c:pt idx="59">
                  <c:v>1.2299999999999998</c:v>
                </c:pt>
                <c:pt idx="60">
                  <c:v>1.2299999999999998</c:v>
                </c:pt>
                <c:pt idx="61">
                  <c:v>1.2299999999999998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1.2449999999999997</c:v>
                </c:pt>
                <c:pt idx="65">
                  <c:v>1.2449999999999997</c:v>
                </c:pt>
                <c:pt idx="66">
                  <c:v>1.2449999999999997</c:v>
                </c:pt>
                <c:pt idx="67">
                  <c:v>1.2449999999999997</c:v>
                </c:pt>
                <c:pt idx="68">
                  <c:v>1.2449999999999997</c:v>
                </c:pt>
                <c:pt idx="69">
                  <c:v>1.2449999999999997</c:v>
                </c:pt>
                <c:pt idx="70">
                  <c:v>1.2449999999999997</c:v>
                </c:pt>
                <c:pt idx="71">
                  <c:v>1.2449999999999997</c:v>
                </c:pt>
                <c:pt idx="72">
                  <c:v>1.2449999999999997</c:v>
                </c:pt>
                <c:pt idx="73">
                  <c:v>1.2449999999999997</c:v>
                </c:pt>
                <c:pt idx="74">
                  <c:v>1.2449999999999997</c:v>
                </c:pt>
                <c:pt idx="75">
                  <c:v>1.2449999999999997</c:v>
                </c:pt>
                <c:pt idx="76">
                  <c:v>1.2449999999999997</c:v>
                </c:pt>
                <c:pt idx="77">
                  <c:v>1.2449999999999997</c:v>
                </c:pt>
                <c:pt idx="78">
                  <c:v>1.2449999999999997</c:v>
                </c:pt>
                <c:pt idx="79">
                  <c:v>1.2449999999999997</c:v>
                </c:pt>
                <c:pt idx="80">
                  <c:v>1.2449999999999997</c:v>
                </c:pt>
                <c:pt idx="81">
                  <c:v>1.2449999999999997</c:v>
                </c:pt>
                <c:pt idx="82">
                  <c:v>1.2449999999999997</c:v>
                </c:pt>
                <c:pt idx="83">
                  <c:v>1.2449999999999997</c:v>
                </c:pt>
                <c:pt idx="84">
                  <c:v>1.2599999999999996</c:v>
                </c:pt>
                <c:pt idx="85">
                  <c:v>1.2599999999999996</c:v>
                </c:pt>
                <c:pt idx="86">
                  <c:v>1.2599999999999996</c:v>
                </c:pt>
                <c:pt idx="87">
                  <c:v>1.2599999999999996</c:v>
                </c:pt>
                <c:pt idx="88">
                  <c:v>1.2599999999999996</c:v>
                </c:pt>
                <c:pt idx="89">
                  <c:v>1.2599999999999996</c:v>
                </c:pt>
                <c:pt idx="90">
                  <c:v>1.2599999999999996</c:v>
                </c:pt>
                <c:pt idx="91">
                  <c:v>1.2599999999999996</c:v>
                </c:pt>
                <c:pt idx="92">
                  <c:v>1.2599999999999996</c:v>
                </c:pt>
                <c:pt idx="93">
                  <c:v>1.2599999999999996</c:v>
                </c:pt>
                <c:pt idx="94">
                  <c:v>1.2599999999999996</c:v>
                </c:pt>
                <c:pt idx="95">
                  <c:v>1.2599999999999996</c:v>
                </c:pt>
                <c:pt idx="96">
                  <c:v>1.2599999999999996</c:v>
                </c:pt>
                <c:pt idx="97">
                  <c:v>1.2599999999999996</c:v>
                </c:pt>
                <c:pt idx="98">
                  <c:v>1.2599999999999996</c:v>
                </c:pt>
                <c:pt idx="99">
                  <c:v>1.2599999999999996</c:v>
                </c:pt>
                <c:pt idx="100">
                  <c:v>1.2599999999999996</c:v>
                </c:pt>
                <c:pt idx="101">
                  <c:v>1.2599999999999996</c:v>
                </c:pt>
                <c:pt idx="102">
                  <c:v>1.2599999999999996</c:v>
                </c:pt>
                <c:pt idx="103">
                  <c:v>1.2599999999999996</c:v>
                </c:pt>
                <c:pt idx="104">
                  <c:v>1.2599999999999996</c:v>
                </c:pt>
                <c:pt idx="105">
                  <c:v>1.2749999999999995</c:v>
                </c:pt>
                <c:pt idx="106">
                  <c:v>1.2749999999999995</c:v>
                </c:pt>
                <c:pt idx="107">
                  <c:v>1.2749999999999995</c:v>
                </c:pt>
                <c:pt idx="108">
                  <c:v>1.2749999999999995</c:v>
                </c:pt>
                <c:pt idx="109">
                  <c:v>1.2749999999999995</c:v>
                </c:pt>
                <c:pt idx="110">
                  <c:v>1.2749999999999995</c:v>
                </c:pt>
                <c:pt idx="111">
                  <c:v>1.2749999999999995</c:v>
                </c:pt>
                <c:pt idx="112">
                  <c:v>1.2749999999999995</c:v>
                </c:pt>
                <c:pt idx="113">
                  <c:v>1.2749999999999995</c:v>
                </c:pt>
                <c:pt idx="114">
                  <c:v>1.2749999999999995</c:v>
                </c:pt>
                <c:pt idx="115">
                  <c:v>1.2749999999999995</c:v>
                </c:pt>
                <c:pt idx="116">
                  <c:v>1.2749999999999995</c:v>
                </c:pt>
                <c:pt idx="117">
                  <c:v>1.2749999999999995</c:v>
                </c:pt>
                <c:pt idx="118">
                  <c:v>1.2749999999999995</c:v>
                </c:pt>
                <c:pt idx="119">
                  <c:v>1.2749999999999995</c:v>
                </c:pt>
                <c:pt idx="120">
                  <c:v>1.2749999999999995</c:v>
                </c:pt>
                <c:pt idx="121">
                  <c:v>1.2749999999999995</c:v>
                </c:pt>
                <c:pt idx="122">
                  <c:v>1.2749999999999995</c:v>
                </c:pt>
                <c:pt idx="123">
                  <c:v>1.2749999999999995</c:v>
                </c:pt>
                <c:pt idx="124">
                  <c:v>1.2749999999999995</c:v>
                </c:pt>
                <c:pt idx="125">
                  <c:v>1.2749999999999995</c:v>
                </c:pt>
                <c:pt idx="126">
                  <c:v>1.2899999999999994</c:v>
                </c:pt>
                <c:pt idx="127">
                  <c:v>1.2899999999999994</c:v>
                </c:pt>
                <c:pt idx="128">
                  <c:v>1.2899999999999994</c:v>
                </c:pt>
                <c:pt idx="129">
                  <c:v>1.2899999999999994</c:v>
                </c:pt>
                <c:pt idx="130">
                  <c:v>1.2899999999999994</c:v>
                </c:pt>
                <c:pt idx="131">
                  <c:v>1.2899999999999994</c:v>
                </c:pt>
                <c:pt idx="132">
                  <c:v>1.2899999999999994</c:v>
                </c:pt>
                <c:pt idx="133">
                  <c:v>1.2899999999999994</c:v>
                </c:pt>
                <c:pt idx="134">
                  <c:v>1.2899999999999994</c:v>
                </c:pt>
                <c:pt idx="135">
                  <c:v>1.2899999999999994</c:v>
                </c:pt>
                <c:pt idx="136">
                  <c:v>1.2899999999999994</c:v>
                </c:pt>
                <c:pt idx="137">
                  <c:v>1.2899999999999994</c:v>
                </c:pt>
                <c:pt idx="138">
                  <c:v>1.2899999999999994</c:v>
                </c:pt>
                <c:pt idx="139">
                  <c:v>1.2899999999999994</c:v>
                </c:pt>
                <c:pt idx="140">
                  <c:v>1.2899999999999994</c:v>
                </c:pt>
                <c:pt idx="141">
                  <c:v>1.2899999999999994</c:v>
                </c:pt>
                <c:pt idx="142">
                  <c:v>1.2899999999999994</c:v>
                </c:pt>
                <c:pt idx="143">
                  <c:v>1.2899999999999994</c:v>
                </c:pt>
                <c:pt idx="144">
                  <c:v>1.2899999999999994</c:v>
                </c:pt>
                <c:pt idx="145">
                  <c:v>1.2899999999999994</c:v>
                </c:pt>
                <c:pt idx="146">
                  <c:v>1.2899999999999994</c:v>
                </c:pt>
                <c:pt idx="147">
                  <c:v>1.3049999999999993</c:v>
                </c:pt>
                <c:pt idx="148">
                  <c:v>1.3049999999999993</c:v>
                </c:pt>
                <c:pt idx="149">
                  <c:v>1.3049999999999993</c:v>
                </c:pt>
                <c:pt idx="150">
                  <c:v>1.3049999999999993</c:v>
                </c:pt>
                <c:pt idx="151">
                  <c:v>1.3049999999999993</c:v>
                </c:pt>
                <c:pt idx="152">
                  <c:v>1.3049999999999993</c:v>
                </c:pt>
                <c:pt idx="153">
                  <c:v>1.3049999999999993</c:v>
                </c:pt>
                <c:pt idx="154">
                  <c:v>1.3049999999999993</c:v>
                </c:pt>
                <c:pt idx="155">
                  <c:v>1.3049999999999993</c:v>
                </c:pt>
                <c:pt idx="156">
                  <c:v>1.3049999999999993</c:v>
                </c:pt>
                <c:pt idx="157">
                  <c:v>1.3049999999999993</c:v>
                </c:pt>
                <c:pt idx="158">
                  <c:v>1.3049999999999993</c:v>
                </c:pt>
                <c:pt idx="159">
                  <c:v>1.3049999999999993</c:v>
                </c:pt>
                <c:pt idx="160">
                  <c:v>1.3049999999999993</c:v>
                </c:pt>
                <c:pt idx="161">
                  <c:v>1.3049999999999993</c:v>
                </c:pt>
                <c:pt idx="162">
                  <c:v>1.3049999999999993</c:v>
                </c:pt>
                <c:pt idx="163">
                  <c:v>1.3049999999999993</c:v>
                </c:pt>
                <c:pt idx="164">
                  <c:v>1.3049999999999993</c:v>
                </c:pt>
                <c:pt idx="165">
                  <c:v>1.3049999999999993</c:v>
                </c:pt>
                <c:pt idx="166">
                  <c:v>1.3049999999999993</c:v>
                </c:pt>
                <c:pt idx="167">
                  <c:v>1.3049999999999993</c:v>
                </c:pt>
                <c:pt idx="168">
                  <c:v>1.3199999999999992</c:v>
                </c:pt>
                <c:pt idx="169">
                  <c:v>1.3199999999999992</c:v>
                </c:pt>
                <c:pt idx="170">
                  <c:v>1.3199999999999992</c:v>
                </c:pt>
                <c:pt idx="171">
                  <c:v>1.3199999999999992</c:v>
                </c:pt>
                <c:pt idx="172">
                  <c:v>1.3199999999999992</c:v>
                </c:pt>
                <c:pt idx="173">
                  <c:v>1.3199999999999992</c:v>
                </c:pt>
                <c:pt idx="174">
                  <c:v>1.3199999999999992</c:v>
                </c:pt>
                <c:pt idx="175">
                  <c:v>1.3199999999999992</c:v>
                </c:pt>
                <c:pt idx="176">
                  <c:v>1.3199999999999992</c:v>
                </c:pt>
                <c:pt idx="177">
                  <c:v>1.3199999999999992</c:v>
                </c:pt>
                <c:pt idx="178">
                  <c:v>1.3199999999999992</c:v>
                </c:pt>
                <c:pt idx="179">
                  <c:v>1.3199999999999992</c:v>
                </c:pt>
                <c:pt idx="180">
                  <c:v>1.3199999999999992</c:v>
                </c:pt>
                <c:pt idx="181">
                  <c:v>1.3199999999999992</c:v>
                </c:pt>
                <c:pt idx="182">
                  <c:v>1.3199999999999992</c:v>
                </c:pt>
                <c:pt idx="183">
                  <c:v>1.3199999999999992</c:v>
                </c:pt>
                <c:pt idx="184">
                  <c:v>1.3199999999999992</c:v>
                </c:pt>
                <c:pt idx="185">
                  <c:v>1.3199999999999992</c:v>
                </c:pt>
                <c:pt idx="186">
                  <c:v>1.3199999999999992</c:v>
                </c:pt>
                <c:pt idx="187">
                  <c:v>1.3199999999999992</c:v>
                </c:pt>
                <c:pt idx="188">
                  <c:v>1.3199999999999992</c:v>
                </c:pt>
                <c:pt idx="189">
                  <c:v>1.3349999999999991</c:v>
                </c:pt>
                <c:pt idx="190">
                  <c:v>1.3349999999999991</c:v>
                </c:pt>
                <c:pt idx="191">
                  <c:v>1.3349999999999991</c:v>
                </c:pt>
                <c:pt idx="192">
                  <c:v>1.3349999999999991</c:v>
                </c:pt>
                <c:pt idx="193">
                  <c:v>1.3349999999999991</c:v>
                </c:pt>
                <c:pt idx="194">
                  <c:v>1.3349999999999991</c:v>
                </c:pt>
                <c:pt idx="195">
                  <c:v>1.3349999999999991</c:v>
                </c:pt>
                <c:pt idx="196">
                  <c:v>1.3349999999999991</c:v>
                </c:pt>
                <c:pt idx="197">
                  <c:v>1.3349999999999991</c:v>
                </c:pt>
                <c:pt idx="198">
                  <c:v>1.3349999999999991</c:v>
                </c:pt>
                <c:pt idx="199">
                  <c:v>1.3349999999999991</c:v>
                </c:pt>
                <c:pt idx="200">
                  <c:v>1.3349999999999991</c:v>
                </c:pt>
                <c:pt idx="201">
                  <c:v>1.3349999999999991</c:v>
                </c:pt>
                <c:pt idx="202">
                  <c:v>1.3349999999999991</c:v>
                </c:pt>
                <c:pt idx="203">
                  <c:v>1.3349999999999991</c:v>
                </c:pt>
                <c:pt idx="204">
                  <c:v>1.3349999999999991</c:v>
                </c:pt>
                <c:pt idx="205">
                  <c:v>1.3349999999999991</c:v>
                </c:pt>
                <c:pt idx="206">
                  <c:v>1.3349999999999991</c:v>
                </c:pt>
                <c:pt idx="207">
                  <c:v>1.3349999999999991</c:v>
                </c:pt>
                <c:pt idx="208">
                  <c:v>1.3349999999999991</c:v>
                </c:pt>
                <c:pt idx="209">
                  <c:v>1.3349999999999991</c:v>
                </c:pt>
                <c:pt idx="210">
                  <c:v>1.349999999999999</c:v>
                </c:pt>
                <c:pt idx="211">
                  <c:v>1.349999999999999</c:v>
                </c:pt>
                <c:pt idx="212">
                  <c:v>1.349999999999999</c:v>
                </c:pt>
                <c:pt idx="213">
                  <c:v>1.349999999999999</c:v>
                </c:pt>
                <c:pt idx="214">
                  <c:v>1.349999999999999</c:v>
                </c:pt>
                <c:pt idx="215">
                  <c:v>1.349999999999999</c:v>
                </c:pt>
                <c:pt idx="216">
                  <c:v>1.349999999999999</c:v>
                </c:pt>
                <c:pt idx="217">
                  <c:v>1.349999999999999</c:v>
                </c:pt>
                <c:pt idx="218">
                  <c:v>1.349999999999999</c:v>
                </c:pt>
                <c:pt idx="219">
                  <c:v>1.349999999999999</c:v>
                </c:pt>
                <c:pt idx="220">
                  <c:v>1.349999999999999</c:v>
                </c:pt>
                <c:pt idx="221">
                  <c:v>1.349999999999999</c:v>
                </c:pt>
                <c:pt idx="222">
                  <c:v>1.349999999999999</c:v>
                </c:pt>
                <c:pt idx="223">
                  <c:v>1.349999999999999</c:v>
                </c:pt>
                <c:pt idx="224">
                  <c:v>1.349999999999999</c:v>
                </c:pt>
                <c:pt idx="225">
                  <c:v>1.349999999999999</c:v>
                </c:pt>
                <c:pt idx="226">
                  <c:v>1.349999999999999</c:v>
                </c:pt>
                <c:pt idx="227">
                  <c:v>1.349999999999999</c:v>
                </c:pt>
                <c:pt idx="228">
                  <c:v>1.349999999999999</c:v>
                </c:pt>
                <c:pt idx="229">
                  <c:v>1.349999999999999</c:v>
                </c:pt>
                <c:pt idx="230">
                  <c:v>1.349999999999999</c:v>
                </c:pt>
                <c:pt idx="231">
                  <c:v>1.3649999999999989</c:v>
                </c:pt>
                <c:pt idx="232">
                  <c:v>1.3649999999999989</c:v>
                </c:pt>
                <c:pt idx="233">
                  <c:v>1.3649999999999989</c:v>
                </c:pt>
                <c:pt idx="234">
                  <c:v>1.3649999999999989</c:v>
                </c:pt>
                <c:pt idx="235">
                  <c:v>1.3649999999999989</c:v>
                </c:pt>
                <c:pt idx="236">
                  <c:v>1.3649999999999989</c:v>
                </c:pt>
                <c:pt idx="237">
                  <c:v>1.3649999999999989</c:v>
                </c:pt>
                <c:pt idx="238">
                  <c:v>1.3649999999999989</c:v>
                </c:pt>
                <c:pt idx="239">
                  <c:v>1.3649999999999989</c:v>
                </c:pt>
                <c:pt idx="240">
                  <c:v>1.3649999999999989</c:v>
                </c:pt>
                <c:pt idx="241">
                  <c:v>1.3649999999999989</c:v>
                </c:pt>
                <c:pt idx="242">
                  <c:v>1.3649999999999989</c:v>
                </c:pt>
                <c:pt idx="243">
                  <c:v>1.3649999999999989</c:v>
                </c:pt>
                <c:pt idx="244">
                  <c:v>1.3649999999999989</c:v>
                </c:pt>
                <c:pt idx="245">
                  <c:v>1.3649999999999989</c:v>
                </c:pt>
                <c:pt idx="246">
                  <c:v>1.3649999999999989</c:v>
                </c:pt>
                <c:pt idx="247">
                  <c:v>1.3649999999999989</c:v>
                </c:pt>
                <c:pt idx="248">
                  <c:v>1.3649999999999989</c:v>
                </c:pt>
                <c:pt idx="249">
                  <c:v>1.3649999999999989</c:v>
                </c:pt>
                <c:pt idx="250">
                  <c:v>1.3649999999999989</c:v>
                </c:pt>
                <c:pt idx="251">
                  <c:v>1.3649999999999989</c:v>
                </c:pt>
                <c:pt idx="252">
                  <c:v>1.3799999999999988</c:v>
                </c:pt>
                <c:pt idx="253">
                  <c:v>1.3799999999999988</c:v>
                </c:pt>
                <c:pt idx="254">
                  <c:v>1.3799999999999988</c:v>
                </c:pt>
                <c:pt idx="255">
                  <c:v>1.3799999999999988</c:v>
                </c:pt>
                <c:pt idx="256">
                  <c:v>1.3799999999999988</c:v>
                </c:pt>
                <c:pt idx="257">
                  <c:v>1.3799999999999988</c:v>
                </c:pt>
                <c:pt idx="258">
                  <c:v>1.3799999999999988</c:v>
                </c:pt>
                <c:pt idx="259">
                  <c:v>1.3799999999999988</c:v>
                </c:pt>
                <c:pt idx="260">
                  <c:v>1.3799999999999988</c:v>
                </c:pt>
                <c:pt idx="261">
                  <c:v>1.3799999999999988</c:v>
                </c:pt>
                <c:pt idx="262">
                  <c:v>1.3799999999999988</c:v>
                </c:pt>
                <c:pt idx="263">
                  <c:v>1.3799999999999988</c:v>
                </c:pt>
                <c:pt idx="264">
                  <c:v>1.3799999999999988</c:v>
                </c:pt>
                <c:pt idx="265">
                  <c:v>1.3799999999999988</c:v>
                </c:pt>
                <c:pt idx="266">
                  <c:v>1.3799999999999988</c:v>
                </c:pt>
                <c:pt idx="267">
                  <c:v>1.3799999999999988</c:v>
                </c:pt>
                <c:pt idx="268">
                  <c:v>1.3799999999999988</c:v>
                </c:pt>
                <c:pt idx="269">
                  <c:v>1.3799999999999988</c:v>
                </c:pt>
                <c:pt idx="270">
                  <c:v>1.3799999999999988</c:v>
                </c:pt>
                <c:pt idx="271">
                  <c:v>1.3799999999999988</c:v>
                </c:pt>
                <c:pt idx="272">
                  <c:v>1.3799999999999988</c:v>
                </c:pt>
                <c:pt idx="273">
                  <c:v>1.3949999999999987</c:v>
                </c:pt>
                <c:pt idx="274">
                  <c:v>1.3949999999999987</c:v>
                </c:pt>
                <c:pt idx="275">
                  <c:v>1.3949999999999987</c:v>
                </c:pt>
                <c:pt idx="276">
                  <c:v>1.3949999999999987</c:v>
                </c:pt>
                <c:pt idx="277">
                  <c:v>1.3949999999999987</c:v>
                </c:pt>
                <c:pt idx="278">
                  <c:v>1.3949999999999987</c:v>
                </c:pt>
                <c:pt idx="279">
                  <c:v>1.3949999999999987</c:v>
                </c:pt>
                <c:pt idx="280">
                  <c:v>1.3949999999999987</c:v>
                </c:pt>
                <c:pt idx="281">
                  <c:v>1.3949999999999987</c:v>
                </c:pt>
                <c:pt idx="282">
                  <c:v>1.3949999999999987</c:v>
                </c:pt>
                <c:pt idx="283">
                  <c:v>1.3949999999999987</c:v>
                </c:pt>
                <c:pt idx="284">
                  <c:v>1.3949999999999987</c:v>
                </c:pt>
                <c:pt idx="285">
                  <c:v>1.3949999999999987</c:v>
                </c:pt>
                <c:pt idx="286">
                  <c:v>1.3949999999999987</c:v>
                </c:pt>
                <c:pt idx="287">
                  <c:v>1.3949999999999987</c:v>
                </c:pt>
                <c:pt idx="288">
                  <c:v>1.3949999999999987</c:v>
                </c:pt>
                <c:pt idx="289">
                  <c:v>1.3949999999999987</c:v>
                </c:pt>
                <c:pt idx="290">
                  <c:v>1.3949999999999987</c:v>
                </c:pt>
                <c:pt idx="291">
                  <c:v>1.3949999999999987</c:v>
                </c:pt>
                <c:pt idx="292">
                  <c:v>1.3949999999999987</c:v>
                </c:pt>
                <c:pt idx="293">
                  <c:v>1.3949999999999987</c:v>
                </c:pt>
                <c:pt idx="294">
                  <c:v>1.4099999999999986</c:v>
                </c:pt>
                <c:pt idx="295">
                  <c:v>1.4099999999999986</c:v>
                </c:pt>
                <c:pt idx="296">
                  <c:v>1.4099999999999986</c:v>
                </c:pt>
                <c:pt idx="297">
                  <c:v>1.4099999999999986</c:v>
                </c:pt>
                <c:pt idx="298">
                  <c:v>1.4099999999999986</c:v>
                </c:pt>
                <c:pt idx="299">
                  <c:v>1.4099999999999986</c:v>
                </c:pt>
                <c:pt idx="300">
                  <c:v>1.4099999999999986</c:v>
                </c:pt>
                <c:pt idx="301">
                  <c:v>1.4099999999999986</c:v>
                </c:pt>
                <c:pt idx="302">
                  <c:v>1.4099999999999986</c:v>
                </c:pt>
                <c:pt idx="303">
                  <c:v>1.4099999999999986</c:v>
                </c:pt>
                <c:pt idx="304">
                  <c:v>1.4099999999999986</c:v>
                </c:pt>
                <c:pt idx="305">
                  <c:v>1.4099999999999986</c:v>
                </c:pt>
                <c:pt idx="306">
                  <c:v>1.4099999999999986</c:v>
                </c:pt>
                <c:pt idx="307">
                  <c:v>1.4099999999999986</c:v>
                </c:pt>
                <c:pt idx="308">
                  <c:v>1.4099999999999986</c:v>
                </c:pt>
                <c:pt idx="309">
                  <c:v>1.4099999999999986</c:v>
                </c:pt>
                <c:pt idx="310">
                  <c:v>1.4099999999999986</c:v>
                </c:pt>
                <c:pt idx="311">
                  <c:v>1.4099999999999986</c:v>
                </c:pt>
                <c:pt idx="312">
                  <c:v>1.4099999999999986</c:v>
                </c:pt>
                <c:pt idx="313">
                  <c:v>1.4099999999999986</c:v>
                </c:pt>
                <c:pt idx="314">
                  <c:v>1.4099999999999986</c:v>
                </c:pt>
                <c:pt idx="315">
                  <c:v>1.4249999999999985</c:v>
                </c:pt>
                <c:pt idx="316">
                  <c:v>1.4249999999999985</c:v>
                </c:pt>
                <c:pt idx="317">
                  <c:v>1.4249999999999985</c:v>
                </c:pt>
                <c:pt idx="318">
                  <c:v>1.4249999999999985</c:v>
                </c:pt>
                <c:pt idx="319">
                  <c:v>1.4249999999999985</c:v>
                </c:pt>
                <c:pt idx="320">
                  <c:v>1.4249999999999985</c:v>
                </c:pt>
                <c:pt idx="321">
                  <c:v>1.4249999999999985</c:v>
                </c:pt>
                <c:pt idx="322">
                  <c:v>1.4249999999999985</c:v>
                </c:pt>
                <c:pt idx="323">
                  <c:v>1.4249999999999985</c:v>
                </c:pt>
                <c:pt idx="324">
                  <c:v>1.4249999999999985</c:v>
                </c:pt>
                <c:pt idx="325">
                  <c:v>1.4249999999999985</c:v>
                </c:pt>
                <c:pt idx="326">
                  <c:v>1.4249999999999985</c:v>
                </c:pt>
                <c:pt idx="327">
                  <c:v>1.4249999999999985</c:v>
                </c:pt>
                <c:pt idx="328">
                  <c:v>1.4249999999999985</c:v>
                </c:pt>
                <c:pt idx="329">
                  <c:v>1.4249999999999985</c:v>
                </c:pt>
                <c:pt idx="330">
                  <c:v>1.4249999999999985</c:v>
                </c:pt>
                <c:pt idx="331">
                  <c:v>1.4249999999999985</c:v>
                </c:pt>
                <c:pt idx="332">
                  <c:v>1.4249999999999985</c:v>
                </c:pt>
                <c:pt idx="333">
                  <c:v>1.4249999999999985</c:v>
                </c:pt>
                <c:pt idx="334">
                  <c:v>1.4249999999999985</c:v>
                </c:pt>
                <c:pt idx="335">
                  <c:v>1.4249999999999985</c:v>
                </c:pt>
                <c:pt idx="336">
                  <c:v>1.4399999999999984</c:v>
                </c:pt>
                <c:pt idx="337">
                  <c:v>1.4399999999999984</c:v>
                </c:pt>
                <c:pt idx="338">
                  <c:v>1.4399999999999984</c:v>
                </c:pt>
                <c:pt idx="339">
                  <c:v>1.4399999999999984</c:v>
                </c:pt>
                <c:pt idx="340">
                  <c:v>1.4399999999999984</c:v>
                </c:pt>
                <c:pt idx="341">
                  <c:v>1.4399999999999984</c:v>
                </c:pt>
                <c:pt idx="342">
                  <c:v>1.4399999999999984</c:v>
                </c:pt>
                <c:pt idx="343">
                  <c:v>1.4399999999999984</c:v>
                </c:pt>
                <c:pt idx="344">
                  <c:v>1.4399999999999984</c:v>
                </c:pt>
                <c:pt idx="345">
                  <c:v>1.4399999999999984</c:v>
                </c:pt>
                <c:pt idx="346">
                  <c:v>1.4399999999999984</c:v>
                </c:pt>
                <c:pt idx="347">
                  <c:v>1.4399999999999984</c:v>
                </c:pt>
                <c:pt idx="348">
                  <c:v>1.4399999999999984</c:v>
                </c:pt>
                <c:pt idx="349">
                  <c:v>1.4399999999999984</c:v>
                </c:pt>
                <c:pt idx="350">
                  <c:v>1.4399999999999984</c:v>
                </c:pt>
                <c:pt idx="351">
                  <c:v>1.4399999999999984</c:v>
                </c:pt>
                <c:pt idx="352">
                  <c:v>1.4399999999999984</c:v>
                </c:pt>
                <c:pt idx="353">
                  <c:v>1.4399999999999984</c:v>
                </c:pt>
                <c:pt idx="354">
                  <c:v>1.4399999999999984</c:v>
                </c:pt>
                <c:pt idx="355">
                  <c:v>1.4399999999999984</c:v>
                </c:pt>
                <c:pt idx="356">
                  <c:v>1.4399999999999984</c:v>
                </c:pt>
                <c:pt idx="357">
                  <c:v>1.4549999999999983</c:v>
                </c:pt>
                <c:pt idx="358">
                  <c:v>1.4549999999999983</c:v>
                </c:pt>
                <c:pt idx="359">
                  <c:v>1.4549999999999983</c:v>
                </c:pt>
                <c:pt idx="360">
                  <c:v>1.4549999999999983</c:v>
                </c:pt>
                <c:pt idx="361">
                  <c:v>1.4549999999999983</c:v>
                </c:pt>
                <c:pt idx="362">
                  <c:v>1.4549999999999983</c:v>
                </c:pt>
                <c:pt idx="363">
                  <c:v>1.4549999999999983</c:v>
                </c:pt>
                <c:pt idx="364">
                  <c:v>1.4549999999999983</c:v>
                </c:pt>
                <c:pt idx="365">
                  <c:v>1.4549999999999983</c:v>
                </c:pt>
                <c:pt idx="366">
                  <c:v>1.4549999999999983</c:v>
                </c:pt>
                <c:pt idx="367">
                  <c:v>1.4549999999999983</c:v>
                </c:pt>
                <c:pt idx="368">
                  <c:v>1.4549999999999983</c:v>
                </c:pt>
                <c:pt idx="369">
                  <c:v>1.4549999999999983</c:v>
                </c:pt>
                <c:pt idx="370">
                  <c:v>1.4549999999999983</c:v>
                </c:pt>
                <c:pt idx="371">
                  <c:v>1.4549999999999983</c:v>
                </c:pt>
                <c:pt idx="372">
                  <c:v>1.4549999999999983</c:v>
                </c:pt>
                <c:pt idx="373">
                  <c:v>1.4549999999999983</c:v>
                </c:pt>
                <c:pt idx="374">
                  <c:v>1.4549999999999983</c:v>
                </c:pt>
                <c:pt idx="375">
                  <c:v>1.4549999999999983</c:v>
                </c:pt>
                <c:pt idx="376">
                  <c:v>1.4549999999999983</c:v>
                </c:pt>
                <c:pt idx="377">
                  <c:v>1.4549999999999983</c:v>
                </c:pt>
                <c:pt idx="378">
                  <c:v>1.4699999999999982</c:v>
                </c:pt>
                <c:pt idx="379">
                  <c:v>1.4699999999999982</c:v>
                </c:pt>
                <c:pt idx="380">
                  <c:v>1.4699999999999982</c:v>
                </c:pt>
                <c:pt idx="381">
                  <c:v>1.4699999999999982</c:v>
                </c:pt>
                <c:pt idx="382">
                  <c:v>1.4699999999999982</c:v>
                </c:pt>
                <c:pt idx="383">
                  <c:v>1.4699999999999982</c:v>
                </c:pt>
                <c:pt idx="384">
                  <c:v>1.4699999999999982</c:v>
                </c:pt>
                <c:pt idx="385">
                  <c:v>1.4699999999999982</c:v>
                </c:pt>
                <c:pt idx="386">
                  <c:v>1.4699999999999982</c:v>
                </c:pt>
                <c:pt idx="387">
                  <c:v>1.4699999999999982</c:v>
                </c:pt>
                <c:pt idx="388">
                  <c:v>1.4699999999999982</c:v>
                </c:pt>
                <c:pt idx="389">
                  <c:v>1.4699999999999982</c:v>
                </c:pt>
                <c:pt idx="390">
                  <c:v>1.4699999999999982</c:v>
                </c:pt>
                <c:pt idx="391">
                  <c:v>1.4699999999999982</c:v>
                </c:pt>
                <c:pt idx="392">
                  <c:v>1.4699999999999982</c:v>
                </c:pt>
                <c:pt idx="393">
                  <c:v>1.4699999999999982</c:v>
                </c:pt>
                <c:pt idx="394">
                  <c:v>1.4699999999999982</c:v>
                </c:pt>
                <c:pt idx="395">
                  <c:v>1.4699999999999982</c:v>
                </c:pt>
                <c:pt idx="396">
                  <c:v>1.4699999999999982</c:v>
                </c:pt>
                <c:pt idx="397">
                  <c:v>1.4699999999999982</c:v>
                </c:pt>
                <c:pt idx="398">
                  <c:v>1.4699999999999982</c:v>
                </c:pt>
                <c:pt idx="399">
                  <c:v>1.4849999999999981</c:v>
                </c:pt>
                <c:pt idx="400">
                  <c:v>1.4849999999999981</c:v>
                </c:pt>
                <c:pt idx="401">
                  <c:v>1.4849999999999981</c:v>
                </c:pt>
                <c:pt idx="402">
                  <c:v>1.4849999999999981</c:v>
                </c:pt>
                <c:pt idx="403">
                  <c:v>1.4849999999999981</c:v>
                </c:pt>
                <c:pt idx="404">
                  <c:v>1.4849999999999981</c:v>
                </c:pt>
                <c:pt idx="405">
                  <c:v>1.4849999999999981</c:v>
                </c:pt>
                <c:pt idx="406">
                  <c:v>1.4849999999999981</c:v>
                </c:pt>
                <c:pt idx="407">
                  <c:v>1.4849999999999981</c:v>
                </c:pt>
                <c:pt idx="408">
                  <c:v>1.4849999999999981</c:v>
                </c:pt>
                <c:pt idx="409">
                  <c:v>1.4849999999999981</c:v>
                </c:pt>
                <c:pt idx="410">
                  <c:v>1.4849999999999981</c:v>
                </c:pt>
                <c:pt idx="411">
                  <c:v>1.4849999999999981</c:v>
                </c:pt>
                <c:pt idx="412">
                  <c:v>1.4849999999999981</c:v>
                </c:pt>
                <c:pt idx="413">
                  <c:v>1.4849999999999981</c:v>
                </c:pt>
                <c:pt idx="414">
                  <c:v>1.4849999999999981</c:v>
                </c:pt>
                <c:pt idx="415">
                  <c:v>1.4849999999999981</c:v>
                </c:pt>
                <c:pt idx="416">
                  <c:v>1.4849999999999981</c:v>
                </c:pt>
                <c:pt idx="417">
                  <c:v>1.4849999999999981</c:v>
                </c:pt>
                <c:pt idx="418">
                  <c:v>1.4849999999999981</c:v>
                </c:pt>
                <c:pt idx="419">
                  <c:v>1.4849999999999981</c:v>
                </c:pt>
                <c:pt idx="420">
                  <c:v>1.499999999999998</c:v>
                </c:pt>
                <c:pt idx="421">
                  <c:v>1.499999999999998</c:v>
                </c:pt>
                <c:pt idx="422">
                  <c:v>1.499999999999998</c:v>
                </c:pt>
                <c:pt idx="423">
                  <c:v>1.499999999999998</c:v>
                </c:pt>
                <c:pt idx="424">
                  <c:v>1.499999999999998</c:v>
                </c:pt>
                <c:pt idx="425">
                  <c:v>1.499999999999998</c:v>
                </c:pt>
                <c:pt idx="426">
                  <c:v>1.499999999999998</c:v>
                </c:pt>
                <c:pt idx="427">
                  <c:v>1.499999999999998</c:v>
                </c:pt>
                <c:pt idx="428">
                  <c:v>1.499999999999998</c:v>
                </c:pt>
                <c:pt idx="429">
                  <c:v>1.499999999999998</c:v>
                </c:pt>
                <c:pt idx="430">
                  <c:v>1.499999999999998</c:v>
                </c:pt>
                <c:pt idx="431">
                  <c:v>1.499999999999998</c:v>
                </c:pt>
                <c:pt idx="432">
                  <c:v>1.499999999999998</c:v>
                </c:pt>
                <c:pt idx="433">
                  <c:v>1.499999999999998</c:v>
                </c:pt>
                <c:pt idx="434">
                  <c:v>1.499999999999998</c:v>
                </c:pt>
                <c:pt idx="435">
                  <c:v>1.499999999999998</c:v>
                </c:pt>
                <c:pt idx="436">
                  <c:v>1.499999999999998</c:v>
                </c:pt>
                <c:pt idx="437">
                  <c:v>1.499999999999998</c:v>
                </c:pt>
                <c:pt idx="438">
                  <c:v>1.499999999999998</c:v>
                </c:pt>
                <c:pt idx="439">
                  <c:v>1.499999999999998</c:v>
                </c:pt>
                <c:pt idx="440">
                  <c:v>1.499999999999998</c:v>
                </c:pt>
              </c:numCache>
            </c:numRef>
          </c:xVal>
          <c:yVal>
            <c:numRef>
              <c:f>optimization!$K$11:$K$20000</c:f>
              <c:numCache>
                <c:formatCode>General</c:formatCode>
                <c:ptCount val="19990"/>
                <c:pt idx="0">
                  <c:v>2281.5601508357313</c:v>
                </c:pt>
                <c:pt idx="1">
                  <c:v>2026.8661907215551</c:v>
                </c:pt>
                <c:pt idx="2">
                  <c:v>1844.9213925322431</c:v>
                </c:pt>
                <c:pt idx="3">
                  <c:v>1702.3505291207753</c:v>
                </c:pt>
                <c:pt idx="4">
                  <c:v>1583.0283290870207</c:v>
                </c:pt>
                <c:pt idx="5">
                  <c:v>1478.2035452240809</c:v>
                </c:pt>
                <c:pt idx="6">
                  <c:v>1382.6356725315568</c:v>
                </c:pt>
                <c:pt idx="7">
                  <c:v>1292.9126619595713</c:v>
                </c:pt>
                <c:pt idx="8">
                  <c:v>1206.6444013327146</c:v>
                </c:pt>
                <c:pt idx="9">
                  <c:v>1122.0526297800318</c:v>
                </c:pt>
                <c:pt idx="10">
                  <c:v>1037.7650190924537</c:v>
                </c:pt>
                <c:pt idx="11">
                  <c:v>952.74308042193286</c:v>
                </c:pt>
                <c:pt idx="12">
                  <c:v>866.33478454110571</c:v>
                </c:pt>
                <c:pt idx="13">
                  <c:v>778.47456815887745</c:v>
                </c:pt>
                <c:pt idx="14">
                  <c:v>690.04304740246346</c:v>
                </c:pt>
                <c:pt idx="15">
                  <c:v>603.25707258367788</c:v>
                </c:pt>
                <c:pt idx="16">
                  <c:v>521.65362390344467</c:v>
                </c:pt>
                <c:pt idx="17">
                  <c:v>449.148915437288</c:v>
                </c:pt>
                <c:pt idx="18">
                  <c:v>388.57917118013324</c:v>
                </c:pt>
                <c:pt idx="19">
                  <c:v>341.05982313802832</c:v>
                </c:pt>
                <c:pt idx="20">
                  <c:v>306.70215661348573</c:v>
                </c:pt>
                <c:pt idx="21">
                  <c:v>2283.4803955237717</c:v>
                </c:pt>
                <c:pt idx="22">
                  <c:v>2029.5755915468926</c:v>
                </c:pt>
                <c:pt idx="23">
                  <c:v>1848.3118786141422</c:v>
                </c:pt>
                <c:pt idx="24">
                  <c:v>1706.335528472541</c:v>
                </c:pt>
                <c:pt idx="25">
                  <c:v>1587.541509681907</c:v>
                </c:pt>
                <c:pt idx="26">
                  <c:v>1483.1940816740107</c:v>
                </c:pt>
                <c:pt idx="27">
                  <c:v>1388.0642653847087</c:v>
                </c:pt>
                <c:pt idx="28">
                  <c:v>1298.7487698589184</c:v>
                </c:pt>
                <c:pt idx="29">
                  <c:v>1212.8645628247009</c:v>
                </c:pt>
                <c:pt idx="30">
                  <c:v>1128.6397883050395</c:v>
                </c:pt>
                <c:pt idx="31">
                  <c:v>1044.7089895237841</c:v>
                </c:pt>
                <c:pt idx="32">
                  <c:v>960.04263602029016</c:v>
                </c:pt>
                <c:pt idx="33">
                  <c:v>874.002370734294</c:v>
                </c:pt>
                <c:pt idx="34">
                  <c:v>786.54537933157303</c:v>
                </c:pt>
                <c:pt idx="35">
                  <c:v>698.59071536513363</c:v>
                </c:pt>
                <c:pt idx="36">
                  <c:v>612.41703983182583</c:v>
                </c:pt>
                <c:pt idx="37">
                  <c:v>531.65038979069163</c:v>
                </c:pt>
                <c:pt idx="38">
                  <c:v>460.31819742788775</c:v>
                </c:pt>
                <c:pt idx="39">
                  <c:v>401.38297183635103</c:v>
                </c:pt>
                <c:pt idx="40">
                  <c:v>356.11370423807199</c:v>
                </c:pt>
                <c:pt idx="41">
                  <c:v>324.85004419967936</c:v>
                </c:pt>
                <c:pt idx="42">
                  <c:v>2285.4006402118116</c:v>
                </c:pt>
                <c:pt idx="43">
                  <c:v>2032.2849923722304</c:v>
                </c:pt>
                <c:pt idx="44">
                  <c:v>1851.7023646960415</c:v>
                </c:pt>
                <c:pt idx="45">
                  <c:v>1710.320527824307</c:v>
                </c:pt>
                <c:pt idx="46">
                  <c:v>1592.0546902767935</c:v>
                </c:pt>
                <c:pt idx="47">
                  <c:v>1488.1846181239407</c:v>
                </c:pt>
                <c:pt idx="48">
                  <c:v>1393.4928582378607</c:v>
                </c:pt>
                <c:pt idx="49">
                  <c:v>1304.5848777582655</c:v>
                </c:pt>
                <c:pt idx="50">
                  <c:v>1219.0847243166872</c:v>
                </c:pt>
                <c:pt idx="51">
                  <c:v>1135.2269468300472</c:v>
                </c:pt>
                <c:pt idx="52">
                  <c:v>1051.6529599551145</c:v>
                </c:pt>
                <c:pt idx="53">
                  <c:v>967.34219161864712</c:v>
                </c:pt>
                <c:pt idx="54">
                  <c:v>881.66995692748242</c:v>
                </c:pt>
                <c:pt idx="55">
                  <c:v>794.61619050426884</c:v>
                </c:pt>
                <c:pt idx="56">
                  <c:v>707.13838332780415</c:v>
                </c:pt>
                <c:pt idx="57">
                  <c:v>621.5770070799739</c:v>
                </c:pt>
                <c:pt idx="58">
                  <c:v>541.6471556779386</c:v>
                </c:pt>
                <c:pt idx="59">
                  <c:v>471.48747941848745</c:v>
                </c:pt>
                <c:pt idx="60">
                  <c:v>414.18677249256882</c:v>
                </c:pt>
                <c:pt idx="61">
                  <c:v>371.1675853381156</c:v>
                </c:pt>
                <c:pt idx="62">
                  <c:v>342.99793178587242</c:v>
                </c:pt>
                <c:pt idx="63">
                  <c:v>2287.320884899852</c:v>
                </c:pt>
                <c:pt idx="64">
                  <c:v>2034.9943931975683</c:v>
                </c:pt>
                <c:pt idx="65">
                  <c:v>1855.0928507779408</c:v>
                </c:pt>
                <c:pt idx="66">
                  <c:v>1714.3055271760727</c:v>
                </c:pt>
                <c:pt idx="67">
                  <c:v>1596.5678708716796</c:v>
                </c:pt>
                <c:pt idx="68">
                  <c:v>1493.1751545738705</c:v>
                </c:pt>
                <c:pt idx="69">
                  <c:v>1398.9214510910126</c:v>
                </c:pt>
                <c:pt idx="70">
                  <c:v>1310.4209856576126</c:v>
                </c:pt>
                <c:pt idx="71">
                  <c:v>1225.3048858086736</c:v>
                </c:pt>
                <c:pt idx="72">
                  <c:v>1141.8141053550548</c:v>
                </c:pt>
                <c:pt idx="73">
                  <c:v>1058.5969303864447</c:v>
                </c:pt>
                <c:pt idx="74">
                  <c:v>974.64174721700442</c:v>
                </c:pt>
                <c:pt idx="75">
                  <c:v>889.33754312067083</c:v>
                </c:pt>
                <c:pt idx="76">
                  <c:v>802.68700167696454</c:v>
                </c:pt>
                <c:pt idx="77">
                  <c:v>715.68605129047432</c:v>
                </c:pt>
                <c:pt idx="78">
                  <c:v>630.73697432812173</c:v>
                </c:pt>
                <c:pt idx="79">
                  <c:v>551.64392156518568</c:v>
                </c:pt>
                <c:pt idx="80">
                  <c:v>482.65676140908715</c:v>
                </c:pt>
                <c:pt idx="81">
                  <c:v>426.9905731487865</c:v>
                </c:pt>
                <c:pt idx="82">
                  <c:v>386.22146643815938</c:v>
                </c:pt>
                <c:pt idx="83">
                  <c:v>361.14581937206606</c:v>
                </c:pt>
                <c:pt idx="84">
                  <c:v>2289.2411295878919</c:v>
                </c:pt>
                <c:pt idx="85">
                  <c:v>2037.7037940229061</c:v>
                </c:pt>
                <c:pt idx="86">
                  <c:v>1858.4833368598402</c:v>
                </c:pt>
                <c:pt idx="87">
                  <c:v>1718.2905265278384</c:v>
                </c:pt>
                <c:pt idx="88">
                  <c:v>1601.0810514665659</c:v>
                </c:pt>
                <c:pt idx="89">
                  <c:v>1498.1656910238005</c:v>
                </c:pt>
                <c:pt idx="90">
                  <c:v>1404.3500439441641</c:v>
                </c:pt>
                <c:pt idx="91">
                  <c:v>1316.2570935569595</c:v>
                </c:pt>
                <c:pt idx="92">
                  <c:v>1231.5250473006597</c:v>
                </c:pt>
                <c:pt idx="93">
                  <c:v>1148.4012638800625</c:v>
                </c:pt>
                <c:pt idx="94">
                  <c:v>1065.5409008177749</c:v>
                </c:pt>
                <c:pt idx="95">
                  <c:v>981.9413028153615</c:v>
                </c:pt>
                <c:pt idx="96">
                  <c:v>897.00512931385924</c:v>
                </c:pt>
                <c:pt idx="97">
                  <c:v>810.75781284966035</c:v>
                </c:pt>
                <c:pt idx="98">
                  <c:v>724.23371925314461</c:v>
                </c:pt>
                <c:pt idx="99">
                  <c:v>639.8969415762698</c:v>
                </c:pt>
                <c:pt idx="100">
                  <c:v>561.64068745243264</c:v>
                </c:pt>
                <c:pt idx="101">
                  <c:v>493.82604339968674</c:v>
                </c:pt>
                <c:pt idx="102">
                  <c:v>439.79437380500417</c:v>
                </c:pt>
                <c:pt idx="103">
                  <c:v>401.27534753820305</c:v>
                </c:pt>
                <c:pt idx="104">
                  <c:v>379.29370695825907</c:v>
                </c:pt>
                <c:pt idx="105">
                  <c:v>2291.1613742759323</c:v>
                </c:pt>
                <c:pt idx="106">
                  <c:v>2040.4131948482436</c:v>
                </c:pt>
                <c:pt idx="107">
                  <c:v>1861.8738229417393</c:v>
                </c:pt>
                <c:pt idx="108">
                  <c:v>1722.2755258796042</c:v>
                </c:pt>
                <c:pt idx="109">
                  <c:v>1605.5942320614524</c:v>
                </c:pt>
                <c:pt idx="110">
                  <c:v>1503.1562274737303</c:v>
                </c:pt>
                <c:pt idx="111">
                  <c:v>1409.778636797316</c:v>
                </c:pt>
                <c:pt idx="112">
                  <c:v>1322.0932014563066</c:v>
                </c:pt>
                <c:pt idx="113">
                  <c:v>1237.7452087926461</c:v>
                </c:pt>
                <c:pt idx="114">
                  <c:v>1154.9884224050702</c:v>
                </c:pt>
                <c:pt idx="115">
                  <c:v>1072.484871249105</c:v>
                </c:pt>
                <c:pt idx="116">
                  <c:v>989.24085841371857</c:v>
                </c:pt>
                <c:pt idx="117">
                  <c:v>904.67271550704766</c:v>
                </c:pt>
                <c:pt idx="118">
                  <c:v>818.82862402235617</c:v>
                </c:pt>
                <c:pt idx="119">
                  <c:v>732.78138721581502</c:v>
                </c:pt>
                <c:pt idx="120">
                  <c:v>649.05690882441775</c:v>
                </c:pt>
                <c:pt idx="121">
                  <c:v>571.6374533396795</c:v>
                </c:pt>
                <c:pt idx="122">
                  <c:v>504.99532539028644</c:v>
                </c:pt>
                <c:pt idx="123">
                  <c:v>452.59817446122196</c:v>
                </c:pt>
                <c:pt idx="124">
                  <c:v>416.32922863824649</c:v>
                </c:pt>
                <c:pt idx="125">
                  <c:v>397.44159454445276</c:v>
                </c:pt>
                <c:pt idx="126">
                  <c:v>2293.0816189639722</c:v>
                </c:pt>
                <c:pt idx="127">
                  <c:v>2043.1225956735816</c:v>
                </c:pt>
                <c:pt idx="128">
                  <c:v>1865.2643090236386</c:v>
                </c:pt>
                <c:pt idx="129">
                  <c:v>1726.2605252313704</c:v>
                </c:pt>
                <c:pt idx="130">
                  <c:v>1610.1074126563387</c:v>
                </c:pt>
                <c:pt idx="131">
                  <c:v>1508.14676392366</c:v>
                </c:pt>
                <c:pt idx="132">
                  <c:v>1415.207229650468</c:v>
                </c:pt>
                <c:pt idx="133">
                  <c:v>1327.9293093556537</c:v>
                </c:pt>
                <c:pt idx="134">
                  <c:v>1243.9653702846324</c:v>
                </c:pt>
                <c:pt idx="135">
                  <c:v>1161.5755809300779</c:v>
                </c:pt>
                <c:pt idx="136">
                  <c:v>1079.4288416804354</c:v>
                </c:pt>
                <c:pt idx="137">
                  <c:v>996.54041401207564</c:v>
                </c:pt>
                <c:pt idx="138">
                  <c:v>912.34030170023607</c:v>
                </c:pt>
                <c:pt idx="139">
                  <c:v>826.89943519505198</c:v>
                </c:pt>
                <c:pt idx="140">
                  <c:v>741.32905517848531</c:v>
                </c:pt>
                <c:pt idx="141">
                  <c:v>658.21687607256581</c:v>
                </c:pt>
                <c:pt idx="142">
                  <c:v>581.63421922692646</c:v>
                </c:pt>
                <c:pt idx="143">
                  <c:v>516.1646073808862</c:v>
                </c:pt>
                <c:pt idx="144">
                  <c:v>465.4019751174398</c:v>
                </c:pt>
                <c:pt idx="145">
                  <c:v>431.38310973829016</c:v>
                </c:pt>
                <c:pt idx="146">
                  <c:v>415.58948213064576</c:v>
                </c:pt>
                <c:pt idx="147">
                  <c:v>2295.0018636520126</c:v>
                </c:pt>
                <c:pt idx="148">
                  <c:v>2045.8319964989194</c:v>
                </c:pt>
                <c:pt idx="149">
                  <c:v>1868.6547951055377</c:v>
                </c:pt>
                <c:pt idx="150">
                  <c:v>1730.2455245831361</c:v>
                </c:pt>
                <c:pt idx="151">
                  <c:v>1614.6205932512248</c:v>
                </c:pt>
                <c:pt idx="152">
                  <c:v>1513.1373003735903</c:v>
                </c:pt>
                <c:pt idx="153">
                  <c:v>1420.6358225036197</c:v>
                </c:pt>
                <c:pt idx="154">
                  <c:v>1333.7654172550008</c:v>
                </c:pt>
                <c:pt idx="155">
                  <c:v>1250.1855317766187</c:v>
                </c:pt>
                <c:pt idx="156">
                  <c:v>1168.1627394550856</c:v>
                </c:pt>
                <c:pt idx="157">
                  <c:v>1086.3728121117658</c:v>
                </c:pt>
                <c:pt idx="158">
                  <c:v>1003.8399696104328</c:v>
                </c:pt>
                <c:pt idx="159">
                  <c:v>920.00788789342437</c:v>
                </c:pt>
                <c:pt idx="160">
                  <c:v>834.97024636774756</c:v>
                </c:pt>
                <c:pt idx="161">
                  <c:v>749.87672314115559</c:v>
                </c:pt>
                <c:pt idx="162">
                  <c:v>667.37684332071387</c:v>
                </c:pt>
                <c:pt idx="163">
                  <c:v>591.63098511417343</c:v>
                </c:pt>
                <c:pt idx="164">
                  <c:v>527.33388937148584</c:v>
                </c:pt>
                <c:pt idx="165">
                  <c:v>478.20577577365759</c:v>
                </c:pt>
                <c:pt idx="166">
                  <c:v>446.43699083833377</c:v>
                </c:pt>
                <c:pt idx="167">
                  <c:v>433.7373697168394</c:v>
                </c:pt>
                <c:pt idx="168">
                  <c:v>2296.9221083400525</c:v>
                </c:pt>
                <c:pt idx="169">
                  <c:v>2048.5413973242571</c:v>
                </c:pt>
                <c:pt idx="170">
                  <c:v>1872.045281187437</c:v>
                </c:pt>
                <c:pt idx="171">
                  <c:v>1734.2305239349018</c:v>
                </c:pt>
                <c:pt idx="172">
                  <c:v>1619.1337738461114</c:v>
                </c:pt>
                <c:pt idx="173">
                  <c:v>1518.1278368235203</c:v>
                </c:pt>
                <c:pt idx="174">
                  <c:v>1426.0644153567716</c:v>
                </c:pt>
                <c:pt idx="175">
                  <c:v>1339.6015251543477</c:v>
                </c:pt>
                <c:pt idx="176">
                  <c:v>1256.4056932686051</c:v>
                </c:pt>
                <c:pt idx="177">
                  <c:v>1174.7498979800932</c:v>
                </c:pt>
                <c:pt idx="178">
                  <c:v>1093.3167825430958</c:v>
                </c:pt>
                <c:pt idx="179">
                  <c:v>1011.1395252087899</c:v>
                </c:pt>
                <c:pt idx="180">
                  <c:v>927.67547408661267</c:v>
                </c:pt>
                <c:pt idx="181">
                  <c:v>843.04105754044338</c:v>
                </c:pt>
                <c:pt idx="182">
                  <c:v>758.424391103826</c:v>
                </c:pt>
                <c:pt idx="183">
                  <c:v>676.53681056886182</c:v>
                </c:pt>
                <c:pt idx="184">
                  <c:v>601.62775100142039</c:v>
                </c:pt>
                <c:pt idx="185">
                  <c:v>538.50317136208548</c:v>
                </c:pt>
                <c:pt idx="186">
                  <c:v>491.00957642987527</c:v>
                </c:pt>
                <c:pt idx="187">
                  <c:v>461.49087193837744</c:v>
                </c:pt>
                <c:pt idx="188">
                  <c:v>451.88525730303246</c:v>
                </c:pt>
                <c:pt idx="189">
                  <c:v>2298.8423530280929</c:v>
                </c:pt>
                <c:pt idx="190">
                  <c:v>2051.2507981495951</c:v>
                </c:pt>
                <c:pt idx="191">
                  <c:v>1875.4357672693361</c:v>
                </c:pt>
                <c:pt idx="192">
                  <c:v>1738.2155232866676</c:v>
                </c:pt>
                <c:pt idx="193">
                  <c:v>1623.6469544409977</c:v>
                </c:pt>
                <c:pt idx="194">
                  <c:v>1523.1183732734501</c:v>
                </c:pt>
                <c:pt idx="195">
                  <c:v>1431.4930082099236</c:v>
                </c:pt>
                <c:pt idx="196">
                  <c:v>1345.437633053695</c:v>
                </c:pt>
                <c:pt idx="197">
                  <c:v>1262.6258547605914</c:v>
                </c:pt>
                <c:pt idx="198">
                  <c:v>1181.3370565051009</c:v>
                </c:pt>
                <c:pt idx="199">
                  <c:v>1100.2607529744262</c:v>
                </c:pt>
                <c:pt idx="200">
                  <c:v>1018.439080807147</c:v>
                </c:pt>
                <c:pt idx="201">
                  <c:v>935.34306027980097</c:v>
                </c:pt>
                <c:pt idx="202">
                  <c:v>851.11186871313907</c:v>
                </c:pt>
                <c:pt idx="203">
                  <c:v>766.97205906649617</c:v>
                </c:pt>
                <c:pt idx="204">
                  <c:v>685.69677781700989</c:v>
                </c:pt>
                <c:pt idx="205">
                  <c:v>611.62451688866736</c:v>
                </c:pt>
                <c:pt idx="206">
                  <c:v>549.67245335268512</c:v>
                </c:pt>
                <c:pt idx="207">
                  <c:v>503.81337708609294</c:v>
                </c:pt>
                <c:pt idx="208">
                  <c:v>476.54475303842105</c:v>
                </c:pt>
                <c:pt idx="209">
                  <c:v>470.03314488922581</c:v>
                </c:pt>
                <c:pt idx="210">
                  <c:v>2300.7625977161329</c:v>
                </c:pt>
                <c:pt idx="211">
                  <c:v>2053.9601989749326</c:v>
                </c:pt>
                <c:pt idx="212">
                  <c:v>1878.8262533512357</c:v>
                </c:pt>
                <c:pt idx="213">
                  <c:v>1742.2005226384335</c:v>
                </c:pt>
                <c:pt idx="214">
                  <c:v>1628.160135035884</c:v>
                </c:pt>
                <c:pt idx="215">
                  <c:v>1528.1089097233798</c:v>
                </c:pt>
                <c:pt idx="216">
                  <c:v>1436.9216010630753</c:v>
                </c:pt>
                <c:pt idx="217">
                  <c:v>1351.2737409530419</c:v>
                </c:pt>
                <c:pt idx="218">
                  <c:v>1268.8460162525776</c:v>
                </c:pt>
                <c:pt idx="219">
                  <c:v>1187.9242150301086</c:v>
                </c:pt>
                <c:pt idx="220">
                  <c:v>1107.2047234057563</c:v>
                </c:pt>
                <c:pt idx="221">
                  <c:v>1025.7386364055042</c:v>
                </c:pt>
                <c:pt idx="222">
                  <c:v>943.01064647298938</c:v>
                </c:pt>
                <c:pt idx="223">
                  <c:v>859.18267988583489</c:v>
                </c:pt>
                <c:pt idx="224">
                  <c:v>775.51972702916669</c:v>
                </c:pt>
                <c:pt idx="225">
                  <c:v>694.85674506515772</c:v>
                </c:pt>
                <c:pt idx="226">
                  <c:v>621.62128277591432</c:v>
                </c:pt>
                <c:pt idx="227">
                  <c:v>560.84173534328488</c:v>
                </c:pt>
                <c:pt idx="228">
                  <c:v>516.61717774231067</c:v>
                </c:pt>
                <c:pt idx="229">
                  <c:v>491.59863413846455</c:v>
                </c:pt>
                <c:pt idx="230">
                  <c:v>488.18103247541916</c:v>
                </c:pt>
                <c:pt idx="231">
                  <c:v>2302.6828424041732</c:v>
                </c:pt>
                <c:pt idx="232">
                  <c:v>2056.6695998002706</c:v>
                </c:pt>
                <c:pt idx="233">
                  <c:v>1882.216739433135</c:v>
                </c:pt>
                <c:pt idx="234">
                  <c:v>1746.1855219901993</c:v>
                </c:pt>
                <c:pt idx="235">
                  <c:v>1632.6733156307705</c:v>
                </c:pt>
                <c:pt idx="236">
                  <c:v>1533.0994461733098</c:v>
                </c:pt>
                <c:pt idx="237">
                  <c:v>1442.350193916227</c:v>
                </c:pt>
                <c:pt idx="238">
                  <c:v>1357.1098488523887</c:v>
                </c:pt>
                <c:pt idx="239">
                  <c:v>1275.0661777445639</c:v>
                </c:pt>
                <c:pt idx="240">
                  <c:v>1194.5113735551163</c:v>
                </c:pt>
                <c:pt idx="241">
                  <c:v>1114.1486938370867</c:v>
                </c:pt>
                <c:pt idx="242">
                  <c:v>1033.0381920038612</c:v>
                </c:pt>
                <c:pt idx="243">
                  <c:v>950.67823266617802</c:v>
                </c:pt>
                <c:pt idx="244">
                  <c:v>867.2534910585307</c:v>
                </c:pt>
                <c:pt idx="245">
                  <c:v>784.06739499183686</c:v>
                </c:pt>
                <c:pt idx="246">
                  <c:v>704.01671231330579</c:v>
                </c:pt>
                <c:pt idx="247">
                  <c:v>631.61804866316129</c:v>
                </c:pt>
                <c:pt idx="248">
                  <c:v>572.01101733388441</c:v>
                </c:pt>
                <c:pt idx="249">
                  <c:v>529.42097839852852</c:v>
                </c:pt>
                <c:pt idx="250">
                  <c:v>506.65251523850833</c:v>
                </c:pt>
                <c:pt idx="251">
                  <c:v>506.32892006161251</c:v>
                </c:pt>
                <c:pt idx="252">
                  <c:v>2304.6030870922136</c:v>
                </c:pt>
                <c:pt idx="253">
                  <c:v>2059.3790006256081</c:v>
                </c:pt>
                <c:pt idx="254">
                  <c:v>1885.6072255150341</c:v>
                </c:pt>
                <c:pt idx="255">
                  <c:v>1750.170521341965</c:v>
                </c:pt>
                <c:pt idx="256">
                  <c:v>1637.1864962256566</c:v>
                </c:pt>
                <c:pt idx="257">
                  <c:v>1538.0899826232396</c:v>
                </c:pt>
                <c:pt idx="258">
                  <c:v>1447.7787867693789</c:v>
                </c:pt>
                <c:pt idx="259">
                  <c:v>1362.945956751736</c:v>
                </c:pt>
                <c:pt idx="260">
                  <c:v>1281.2863392365502</c:v>
                </c:pt>
                <c:pt idx="261">
                  <c:v>1201.098532080124</c:v>
                </c:pt>
                <c:pt idx="262">
                  <c:v>1121.0926642684171</c:v>
                </c:pt>
                <c:pt idx="263">
                  <c:v>1040.3377476022183</c:v>
                </c:pt>
                <c:pt idx="264">
                  <c:v>958.34581885936632</c:v>
                </c:pt>
                <c:pt idx="265">
                  <c:v>875.32430223122651</c:v>
                </c:pt>
                <c:pt idx="266">
                  <c:v>792.61506295450738</c:v>
                </c:pt>
                <c:pt idx="267">
                  <c:v>713.17667956145362</c:v>
                </c:pt>
                <c:pt idx="268">
                  <c:v>641.61481455040825</c:v>
                </c:pt>
                <c:pt idx="269">
                  <c:v>583.18029932448417</c:v>
                </c:pt>
                <c:pt idx="270">
                  <c:v>542.22477905474636</c:v>
                </c:pt>
                <c:pt idx="271">
                  <c:v>521.70639633855183</c:v>
                </c:pt>
                <c:pt idx="272">
                  <c:v>524.4768076478058</c:v>
                </c:pt>
                <c:pt idx="273">
                  <c:v>2306.5233317802536</c:v>
                </c:pt>
                <c:pt idx="274">
                  <c:v>2062.0884014509461</c:v>
                </c:pt>
                <c:pt idx="275">
                  <c:v>1888.9977115969334</c:v>
                </c:pt>
                <c:pt idx="276">
                  <c:v>1754.1555206937308</c:v>
                </c:pt>
                <c:pt idx="277">
                  <c:v>1641.6996768205429</c:v>
                </c:pt>
                <c:pt idx="278">
                  <c:v>1543.0805190731699</c:v>
                </c:pt>
                <c:pt idx="279">
                  <c:v>1453.2073796225309</c:v>
                </c:pt>
                <c:pt idx="280">
                  <c:v>1368.7820646510829</c:v>
                </c:pt>
                <c:pt idx="281">
                  <c:v>1287.5065007285366</c:v>
                </c:pt>
                <c:pt idx="282">
                  <c:v>1207.6856906051319</c:v>
                </c:pt>
                <c:pt idx="283">
                  <c:v>1128.0366346997471</c:v>
                </c:pt>
                <c:pt idx="284">
                  <c:v>1047.6373032005754</c:v>
                </c:pt>
                <c:pt idx="285">
                  <c:v>966.01340505255462</c:v>
                </c:pt>
                <c:pt idx="286">
                  <c:v>883.39511340392221</c:v>
                </c:pt>
                <c:pt idx="287">
                  <c:v>801.16273091717756</c:v>
                </c:pt>
                <c:pt idx="288">
                  <c:v>722.33664680960169</c:v>
                </c:pt>
                <c:pt idx="289">
                  <c:v>651.61158043765522</c:v>
                </c:pt>
                <c:pt idx="290">
                  <c:v>594.34958131508392</c:v>
                </c:pt>
                <c:pt idx="291">
                  <c:v>555.02857971096398</c:v>
                </c:pt>
                <c:pt idx="292">
                  <c:v>536.76027743859527</c:v>
                </c:pt>
                <c:pt idx="293">
                  <c:v>542.6246952339992</c:v>
                </c:pt>
                <c:pt idx="294">
                  <c:v>2308.4435764682939</c:v>
                </c:pt>
                <c:pt idx="295">
                  <c:v>2064.7978022762841</c:v>
                </c:pt>
                <c:pt idx="296">
                  <c:v>1892.3881976788325</c:v>
                </c:pt>
                <c:pt idx="297">
                  <c:v>1758.1405200454967</c:v>
                </c:pt>
                <c:pt idx="298">
                  <c:v>1646.2128574154294</c:v>
                </c:pt>
                <c:pt idx="299">
                  <c:v>1548.0710555230996</c:v>
                </c:pt>
                <c:pt idx="300">
                  <c:v>1458.6359724756828</c:v>
                </c:pt>
                <c:pt idx="301">
                  <c:v>1374.6181725504298</c:v>
                </c:pt>
                <c:pt idx="302">
                  <c:v>1293.7266622205229</c:v>
                </c:pt>
                <c:pt idx="303">
                  <c:v>1214.2728491301393</c:v>
                </c:pt>
                <c:pt idx="304">
                  <c:v>1134.9806051310775</c:v>
                </c:pt>
                <c:pt idx="305">
                  <c:v>1054.9368587989325</c:v>
                </c:pt>
                <c:pt idx="306">
                  <c:v>973.68099124574292</c:v>
                </c:pt>
                <c:pt idx="307">
                  <c:v>891.46592457661791</c:v>
                </c:pt>
                <c:pt idx="308">
                  <c:v>809.71039887984784</c:v>
                </c:pt>
                <c:pt idx="309">
                  <c:v>731.49661405774964</c:v>
                </c:pt>
                <c:pt idx="310">
                  <c:v>661.60834632490219</c:v>
                </c:pt>
                <c:pt idx="311">
                  <c:v>605.51886330568357</c:v>
                </c:pt>
                <c:pt idx="312">
                  <c:v>567.83238036718171</c:v>
                </c:pt>
                <c:pt idx="313">
                  <c:v>551.81415853863905</c:v>
                </c:pt>
                <c:pt idx="314">
                  <c:v>560.7725828201925</c:v>
                </c:pt>
                <c:pt idx="315">
                  <c:v>2310.3638211563339</c:v>
                </c:pt>
                <c:pt idx="316">
                  <c:v>2067.5072031016216</c:v>
                </c:pt>
                <c:pt idx="317">
                  <c:v>1895.7786837607321</c:v>
                </c:pt>
                <c:pt idx="318">
                  <c:v>1762.1255193972625</c:v>
                </c:pt>
                <c:pt idx="319">
                  <c:v>1650.7260380103157</c:v>
                </c:pt>
                <c:pt idx="320">
                  <c:v>1553.0615919730296</c:v>
                </c:pt>
                <c:pt idx="321">
                  <c:v>1464.0645653288345</c:v>
                </c:pt>
                <c:pt idx="322">
                  <c:v>1380.4542804497771</c:v>
                </c:pt>
                <c:pt idx="323">
                  <c:v>1299.9468237125091</c:v>
                </c:pt>
                <c:pt idx="324">
                  <c:v>1220.860007655147</c:v>
                </c:pt>
                <c:pt idx="325">
                  <c:v>1141.9245755624077</c:v>
                </c:pt>
                <c:pt idx="326">
                  <c:v>1062.2364143972898</c:v>
                </c:pt>
                <c:pt idx="327">
                  <c:v>981.34857743893133</c:v>
                </c:pt>
                <c:pt idx="328">
                  <c:v>899.53673574931361</c:v>
                </c:pt>
                <c:pt idx="329">
                  <c:v>818.25806684251813</c:v>
                </c:pt>
                <c:pt idx="330">
                  <c:v>740.6565813058977</c:v>
                </c:pt>
                <c:pt idx="331">
                  <c:v>671.60511221214915</c:v>
                </c:pt>
                <c:pt idx="332">
                  <c:v>616.68814529628321</c:v>
                </c:pt>
                <c:pt idx="333">
                  <c:v>580.63618102339944</c:v>
                </c:pt>
                <c:pt idx="334">
                  <c:v>566.8680396386826</c:v>
                </c:pt>
                <c:pt idx="335">
                  <c:v>578.9204704063859</c:v>
                </c:pt>
                <c:pt idx="336">
                  <c:v>2312.2840658443743</c:v>
                </c:pt>
                <c:pt idx="337">
                  <c:v>2070.2166039269596</c:v>
                </c:pt>
                <c:pt idx="338">
                  <c:v>1899.1691698426312</c:v>
                </c:pt>
                <c:pt idx="339">
                  <c:v>1766.1105187490282</c:v>
                </c:pt>
                <c:pt idx="340">
                  <c:v>1655.2392186052018</c:v>
                </c:pt>
                <c:pt idx="341">
                  <c:v>1558.0521284229594</c:v>
                </c:pt>
                <c:pt idx="342">
                  <c:v>1469.4931581819862</c:v>
                </c:pt>
                <c:pt idx="343">
                  <c:v>1386.290388349124</c:v>
                </c:pt>
                <c:pt idx="344">
                  <c:v>1306.1669852044954</c:v>
                </c:pt>
                <c:pt idx="345">
                  <c:v>1227.4471661801549</c:v>
                </c:pt>
                <c:pt idx="346">
                  <c:v>1148.8685459937378</c:v>
                </c:pt>
                <c:pt idx="347">
                  <c:v>1069.5359699956468</c:v>
                </c:pt>
                <c:pt idx="348">
                  <c:v>989.01616363211963</c:v>
                </c:pt>
                <c:pt idx="349">
                  <c:v>907.60754692200942</c:v>
                </c:pt>
                <c:pt idx="350">
                  <c:v>826.80573480518854</c:v>
                </c:pt>
                <c:pt idx="351">
                  <c:v>749.81654855404577</c:v>
                </c:pt>
                <c:pt idx="352">
                  <c:v>681.60187809939612</c:v>
                </c:pt>
                <c:pt idx="353">
                  <c:v>627.85742728688285</c:v>
                </c:pt>
                <c:pt idx="354">
                  <c:v>593.43998167961729</c:v>
                </c:pt>
                <c:pt idx="355">
                  <c:v>581.92192073872604</c:v>
                </c:pt>
                <c:pt idx="356">
                  <c:v>597.06835799257954</c:v>
                </c:pt>
                <c:pt idx="357">
                  <c:v>2314.2043105324142</c:v>
                </c:pt>
                <c:pt idx="358">
                  <c:v>2072.9260047522971</c:v>
                </c:pt>
                <c:pt idx="359">
                  <c:v>1902.5596559245305</c:v>
                </c:pt>
                <c:pt idx="360">
                  <c:v>1770.0955181007939</c:v>
                </c:pt>
                <c:pt idx="361">
                  <c:v>1659.7523992000883</c:v>
                </c:pt>
                <c:pt idx="362">
                  <c:v>1563.0426648728894</c:v>
                </c:pt>
                <c:pt idx="363">
                  <c:v>1474.9217510351382</c:v>
                </c:pt>
                <c:pt idx="364">
                  <c:v>1392.1264962484709</c:v>
                </c:pt>
                <c:pt idx="365">
                  <c:v>1312.3871466964818</c:v>
                </c:pt>
                <c:pt idx="366">
                  <c:v>1234.0343247051624</c:v>
                </c:pt>
                <c:pt idx="367">
                  <c:v>1155.8125164250682</c:v>
                </c:pt>
                <c:pt idx="368">
                  <c:v>1076.8355255940039</c:v>
                </c:pt>
                <c:pt idx="369">
                  <c:v>996.68374982530793</c:v>
                </c:pt>
                <c:pt idx="370">
                  <c:v>915.678358094705</c:v>
                </c:pt>
                <c:pt idx="371">
                  <c:v>835.35340276785882</c:v>
                </c:pt>
                <c:pt idx="372">
                  <c:v>758.97651580219372</c:v>
                </c:pt>
                <c:pt idx="373">
                  <c:v>691.59864398664297</c:v>
                </c:pt>
                <c:pt idx="374">
                  <c:v>639.02670927748261</c:v>
                </c:pt>
                <c:pt idx="375">
                  <c:v>606.24378233583514</c:v>
                </c:pt>
                <c:pt idx="376">
                  <c:v>596.97580183876983</c:v>
                </c:pt>
                <c:pt idx="377">
                  <c:v>615.2162455787726</c:v>
                </c:pt>
                <c:pt idx="378">
                  <c:v>2316.1245552204546</c:v>
                </c:pt>
                <c:pt idx="379">
                  <c:v>2075.6354055776351</c:v>
                </c:pt>
                <c:pt idx="380">
                  <c:v>1905.9501420064296</c:v>
                </c:pt>
                <c:pt idx="381">
                  <c:v>1774.0805174525599</c:v>
                </c:pt>
                <c:pt idx="382">
                  <c:v>1664.2655797949747</c:v>
                </c:pt>
                <c:pt idx="383">
                  <c:v>1568.0332013228192</c:v>
                </c:pt>
                <c:pt idx="384">
                  <c:v>1480.3503438882899</c:v>
                </c:pt>
                <c:pt idx="385">
                  <c:v>1397.962604147818</c:v>
                </c:pt>
                <c:pt idx="386">
                  <c:v>1318.6073081884679</c:v>
                </c:pt>
                <c:pt idx="387">
                  <c:v>1240.6214832301703</c:v>
                </c:pt>
                <c:pt idx="388">
                  <c:v>1162.7564868563984</c:v>
                </c:pt>
                <c:pt idx="389">
                  <c:v>1084.135081192361</c:v>
                </c:pt>
                <c:pt idx="390">
                  <c:v>1004.3513360184966</c:v>
                </c:pt>
                <c:pt idx="391">
                  <c:v>923.74916926740082</c:v>
                </c:pt>
                <c:pt idx="392">
                  <c:v>843.90107073052923</c:v>
                </c:pt>
                <c:pt idx="393">
                  <c:v>768.13648305034167</c:v>
                </c:pt>
                <c:pt idx="394">
                  <c:v>701.59540987388993</c:v>
                </c:pt>
                <c:pt idx="395">
                  <c:v>650.19599126808237</c:v>
                </c:pt>
                <c:pt idx="396">
                  <c:v>619.04758299205275</c:v>
                </c:pt>
                <c:pt idx="397">
                  <c:v>612.02968293881327</c:v>
                </c:pt>
                <c:pt idx="398">
                  <c:v>633.36413316496623</c:v>
                </c:pt>
                <c:pt idx="399">
                  <c:v>2318.0447999084945</c:v>
                </c:pt>
                <c:pt idx="400">
                  <c:v>2078.3448064029726</c:v>
                </c:pt>
                <c:pt idx="401">
                  <c:v>1909.3406280883289</c:v>
                </c:pt>
                <c:pt idx="402">
                  <c:v>1778.0655168043256</c:v>
                </c:pt>
                <c:pt idx="403">
                  <c:v>1668.7787603898612</c:v>
                </c:pt>
                <c:pt idx="404">
                  <c:v>1573.0237377727492</c:v>
                </c:pt>
                <c:pt idx="405">
                  <c:v>1485.7789367414418</c:v>
                </c:pt>
                <c:pt idx="406">
                  <c:v>1403.7987120471651</c:v>
                </c:pt>
                <c:pt idx="407">
                  <c:v>1324.8274696804542</c:v>
                </c:pt>
                <c:pt idx="408">
                  <c:v>1247.208641755178</c:v>
                </c:pt>
                <c:pt idx="409">
                  <c:v>1169.7004572877288</c:v>
                </c:pt>
                <c:pt idx="410">
                  <c:v>1091.4346367907181</c:v>
                </c:pt>
                <c:pt idx="411">
                  <c:v>1012.0189222116849</c:v>
                </c:pt>
                <c:pt idx="412">
                  <c:v>931.81998044009674</c:v>
                </c:pt>
                <c:pt idx="413">
                  <c:v>852.44873869319952</c:v>
                </c:pt>
                <c:pt idx="414">
                  <c:v>777.29645029848962</c:v>
                </c:pt>
                <c:pt idx="415">
                  <c:v>711.5921757611369</c:v>
                </c:pt>
                <c:pt idx="416">
                  <c:v>661.36527325868178</c:v>
                </c:pt>
                <c:pt idx="417">
                  <c:v>631.85138364827037</c:v>
                </c:pt>
                <c:pt idx="418">
                  <c:v>627.08356403885705</c:v>
                </c:pt>
                <c:pt idx="419">
                  <c:v>651.5120207511593</c:v>
                </c:pt>
                <c:pt idx="420">
                  <c:v>2319.9650445965353</c:v>
                </c:pt>
                <c:pt idx="421">
                  <c:v>2081.0542072283106</c:v>
                </c:pt>
                <c:pt idx="422">
                  <c:v>1912.731114170228</c:v>
                </c:pt>
                <c:pt idx="423">
                  <c:v>1782.0505161560914</c:v>
                </c:pt>
                <c:pt idx="424">
                  <c:v>1673.2919409847473</c:v>
                </c:pt>
                <c:pt idx="425">
                  <c:v>1578.014274222679</c:v>
                </c:pt>
                <c:pt idx="426">
                  <c:v>1491.2075295945938</c:v>
                </c:pt>
                <c:pt idx="427">
                  <c:v>1409.6348199465122</c:v>
                </c:pt>
                <c:pt idx="428">
                  <c:v>1331.0476311724406</c:v>
                </c:pt>
                <c:pt idx="429">
                  <c:v>1253.7958002801854</c:v>
                </c:pt>
                <c:pt idx="430">
                  <c:v>1176.644427719059</c:v>
                </c:pt>
                <c:pt idx="431">
                  <c:v>1098.7341923890751</c:v>
                </c:pt>
                <c:pt idx="432">
                  <c:v>1019.6865084048733</c:v>
                </c:pt>
                <c:pt idx="433">
                  <c:v>939.89079161279244</c:v>
                </c:pt>
                <c:pt idx="434">
                  <c:v>860.99640665586992</c:v>
                </c:pt>
                <c:pt idx="435">
                  <c:v>786.45641754663768</c:v>
                </c:pt>
                <c:pt idx="436">
                  <c:v>721.58894164838387</c:v>
                </c:pt>
                <c:pt idx="437">
                  <c:v>672.53455524928142</c:v>
                </c:pt>
                <c:pt idx="438">
                  <c:v>644.65518430448822</c:v>
                </c:pt>
                <c:pt idx="439">
                  <c:v>642.1374451389006</c:v>
                </c:pt>
                <c:pt idx="440">
                  <c:v>669.65990833735259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9-41C8-BA48-FCF8F65F9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8279311"/>
        <c:axId val="1482812415"/>
      </c:scatterChart>
      <c:valAx>
        <c:axId val="1488279311"/>
        <c:scaling>
          <c:orientation val="minMax"/>
          <c:min val="1.10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2812415"/>
        <c:crosses val="autoZero"/>
        <c:crossBetween val="midCat"/>
      </c:valAx>
      <c:valAx>
        <c:axId val="148281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Qr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279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optimization!$B$11</c:f>
              <c:strCache>
                <c:ptCount val="1"/>
                <c:pt idx="0">
                  <c:v>341.48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optimization!$C$11:$C$20000</c:f>
              <c:numCache>
                <c:formatCode>General</c:formatCode>
                <c:ptCount val="19990"/>
                <c:pt idx="0">
                  <c:v>1.2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1.2</c:v>
                </c:pt>
                <c:pt idx="7">
                  <c:v>1.2</c:v>
                </c:pt>
                <c:pt idx="8">
                  <c:v>1.2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1.2</c:v>
                </c:pt>
                <c:pt idx="15">
                  <c:v>1.2</c:v>
                </c:pt>
                <c:pt idx="16">
                  <c:v>1.2</c:v>
                </c:pt>
                <c:pt idx="17">
                  <c:v>1.2</c:v>
                </c:pt>
                <c:pt idx="18">
                  <c:v>1.2</c:v>
                </c:pt>
                <c:pt idx="19">
                  <c:v>1.2</c:v>
                </c:pt>
                <c:pt idx="20">
                  <c:v>1.2</c:v>
                </c:pt>
                <c:pt idx="21">
                  <c:v>1.2149999999999999</c:v>
                </c:pt>
                <c:pt idx="22">
                  <c:v>1.2149999999999999</c:v>
                </c:pt>
                <c:pt idx="23">
                  <c:v>1.2149999999999999</c:v>
                </c:pt>
                <c:pt idx="24">
                  <c:v>1.2149999999999999</c:v>
                </c:pt>
                <c:pt idx="25">
                  <c:v>1.2149999999999999</c:v>
                </c:pt>
                <c:pt idx="26">
                  <c:v>1.2149999999999999</c:v>
                </c:pt>
                <c:pt idx="27">
                  <c:v>1.2149999999999999</c:v>
                </c:pt>
                <c:pt idx="28">
                  <c:v>1.2149999999999999</c:v>
                </c:pt>
                <c:pt idx="29">
                  <c:v>1.2149999999999999</c:v>
                </c:pt>
                <c:pt idx="30">
                  <c:v>1.2149999999999999</c:v>
                </c:pt>
                <c:pt idx="31">
                  <c:v>1.2149999999999999</c:v>
                </c:pt>
                <c:pt idx="32">
                  <c:v>1.2149999999999999</c:v>
                </c:pt>
                <c:pt idx="33">
                  <c:v>1.2149999999999999</c:v>
                </c:pt>
                <c:pt idx="34">
                  <c:v>1.2149999999999999</c:v>
                </c:pt>
                <c:pt idx="35">
                  <c:v>1.2149999999999999</c:v>
                </c:pt>
                <c:pt idx="36">
                  <c:v>1.2149999999999999</c:v>
                </c:pt>
                <c:pt idx="37">
                  <c:v>1.2149999999999999</c:v>
                </c:pt>
                <c:pt idx="38">
                  <c:v>1.2149999999999999</c:v>
                </c:pt>
                <c:pt idx="39">
                  <c:v>1.2149999999999999</c:v>
                </c:pt>
                <c:pt idx="40">
                  <c:v>1.2149999999999999</c:v>
                </c:pt>
                <c:pt idx="41">
                  <c:v>1.2149999999999999</c:v>
                </c:pt>
                <c:pt idx="42">
                  <c:v>1.2299999999999998</c:v>
                </c:pt>
                <c:pt idx="43">
                  <c:v>1.2299999999999998</c:v>
                </c:pt>
                <c:pt idx="44">
                  <c:v>1.2299999999999998</c:v>
                </c:pt>
                <c:pt idx="45">
                  <c:v>1.2299999999999998</c:v>
                </c:pt>
                <c:pt idx="46">
                  <c:v>1.2299999999999998</c:v>
                </c:pt>
                <c:pt idx="47">
                  <c:v>1.2299999999999998</c:v>
                </c:pt>
                <c:pt idx="48">
                  <c:v>1.2299999999999998</c:v>
                </c:pt>
                <c:pt idx="49">
                  <c:v>1.2299999999999998</c:v>
                </c:pt>
                <c:pt idx="50">
                  <c:v>1.2299999999999998</c:v>
                </c:pt>
                <c:pt idx="51">
                  <c:v>1.2299999999999998</c:v>
                </c:pt>
                <c:pt idx="52">
                  <c:v>1.2299999999999998</c:v>
                </c:pt>
                <c:pt idx="53">
                  <c:v>1.2299999999999998</c:v>
                </c:pt>
                <c:pt idx="54">
                  <c:v>1.2299999999999998</c:v>
                </c:pt>
                <c:pt idx="55">
                  <c:v>1.2299999999999998</c:v>
                </c:pt>
                <c:pt idx="56">
                  <c:v>1.2299999999999998</c:v>
                </c:pt>
                <c:pt idx="57">
                  <c:v>1.2299999999999998</c:v>
                </c:pt>
                <c:pt idx="58">
                  <c:v>1.2299999999999998</c:v>
                </c:pt>
                <c:pt idx="59">
                  <c:v>1.2299999999999998</c:v>
                </c:pt>
                <c:pt idx="60">
                  <c:v>1.2299999999999998</c:v>
                </c:pt>
                <c:pt idx="61">
                  <c:v>1.2299999999999998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1.2449999999999997</c:v>
                </c:pt>
                <c:pt idx="65">
                  <c:v>1.2449999999999997</c:v>
                </c:pt>
                <c:pt idx="66">
                  <c:v>1.2449999999999997</c:v>
                </c:pt>
                <c:pt idx="67">
                  <c:v>1.2449999999999997</c:v>
                </c:pt>
                <c:pt idx="68">
                  <c:v>1.2449999999999997</c:v>
                </c:pt>
                <c:pt idx="69">
                  <c:v>1.2449999999999997</c:v>
                </c:pt>
                <c:pt idx="70">
                  <c:v>1.2449999999999997</c:v>
                </c:pt>
                <c:pt idx="71">
                  <c:v>1.2449999999999997</c:v>
                </c:pt>
                <c:pt idx="72">
                  <c:v>1.2449999999999997</c:v>
                </c:pt>
                <c:pt idx="73">
                  <c:v>1.2449999999999997</c:v>
                </c:pt>
                <c:pt idx="74">
                  <c:v>1.2449999999999997</c:v>
                </c:pt>
                <c:pt idx="75">
                  <c:v>1.2449999999999997</c:v>
                </c:pt>
                <c:pt idx="76">
                  <c:v>1.2449999999999997</c:v>
                </c:pt>
                <c:pt idx="77">
                  <c:v>1.2449999999999997</c:v>
                </c:pt>
                <c:pt idx="78">
                  <c:v>1.2449999999999997</c:v>
                </c:pt>
                <c:pt idx="79">
                  <c:v>1.2449999999999997</c:v>
                </c:pt>
                <c:pt idx="80">
                  <c:v>1.2449999999999997</c:v>
                </c:pt>
                <c:pt idx="81">
                  <c:v>1.2449999999999997</c:v>
                </c:pt>
                <c:pt idx="82">
                  <c:v>1.2449999999999997</c:v>
                </c:pt>
                <c:pt idx="83">
                  <c:v>1.2449999999999997</c:v>
                </c:pt>
                <c:pt idx="84">
                  <c:v>1.2599999999999996</c:v>
                </c:pt>
                <c:pt idx="85">
                  <c:v>1.2599999999999996</c:v>
                </c:pt>
                <c:pt idx="86">
                  <c:v>1.2599999999999996</c:v>
                </c:pt>
                <c:pt idx="87">
                  <c:v>1.2599999999999996</c:v>
                </c:pt>
                <c:pt idx="88">
                  <c:v>1.2599999999999996</c:v>
                </c:pt>
                <c:pt idx="89">
                  <c:v>1.2599999999999996</c:v>
                </c:pt>
                <c:pt idx="90">
                  <c:v>1.2599999999999996</c:v>
                </c:pt>
                <c:pt idx="91">
                  <c:v>1.2599999999999996</c:v>
                </c:pt>
                <c:pt idx="92">
                  <c:v>1.2599999999999996</c:v>
                </c:pt>
                <c:pt idx="93">
                  <c:v>1.2599999999999996</c:v>
                </c:pt>
                <c:pt idx="94">
                  <c:v>1.2599999999999996</c:v>
                </c:pt>
                <c:pt idx="95">
                  <c:v>1.2599999999999996</c:v>
                </c:pt>
                <c:pt idx="96">
                  <c:v>1.2599999999999996</c:v>
                </c:pt>
                <c:pt idx="97">
                  <c:v>1.2599999999999996</c:v>
                </c:pt>
                <c:pt idx="98">
                  <c:v>1.2599999999999996</c:v>
                </c:pt>
                <c:pt idx="99">
                  <c:v>1.2599999999999996</c:v>
                </c:pt>
                <c:pt idx="100">
                  <c:v>1.2599999999999996</c:v>
                </c:pt>
                <c:pt idx="101">
                  <c:v>1.2599999999999996</c:v>
                </c:pt>
                <c:pt idx="102">
                  <c:v>1.2599999999999996</c:v>
                </c:pt>
                <c:pt idx="103">
                  <c:v>1.2599999999999996</c:v>
                </c:pt>
                <c:pt idx="104">
                  <c:v>1.2599999999999996</c:v>
                </c:pt>
                <c:pt idx="105">
                  <c:v>1.2749999999999995</c:v>
                </c:pt>
                <c:pt idx="106">
                  <c:v>1.2749999999999995</c:v>
                </c:pt>
                <c:pt idx="107">
                  <c:v>1.2749999999999995</c:v>
                </c:pt>
                <c:pt idx="108">
                  <c:v>1.2749999999999995</c:v>
                </c:pt>
                <c:pt idx="109">
                  <c:v>1.2749999999999995</c:v>
                </c:pt>
                <c:pt idx="110">
                  <c:v>1.2749999999999995</c:v>
                </c:pt>
                <c:pt idx="111">
                  <c:v>1.2749999999999995</c:v>
                </c:pt>
                <c:pt idx="112">
                  <c:v>1.2749999999999995</c:v>
                </c:pt>
                <c:pt idx="113">
                  <c:v>1.2749999999999995</c:v>
                </c:pt>
                <c:pt idx="114">
                  <c:v>1.2749999999999995</c:v>
                </c:pt>
                <c:pt idx="115">
                  <c:v>1.2749999999999995</c:v>
                </c:pt>
                <c:pt idx="116">
                  <c:v>1.2749999999999995</c:v>
                </c:pt>
                <c:pt idx="117">
                  <c:v>1.2749999999999995</c:v>
                </c:pt>
                <c:pt idx="118">
                  <c:v>1.2749999999999995</c:v>
                </c:pt>
                <c:pt idx="119">
                  <c:v>1.2749999999999995</c:v>
                </c:pt>
                <c:pt idx="120">
                  <c:v>1.2749999999999995</c:v>
                </c:pt>
                <c:pt idx="121">
                  <c:v>1.2749999999999995</c:v>
                </c:pt>
                <c:pt idx="122">
                  <c:v>1.2749999999999995</c:v>
                </c:pt>
                <c:pt idx="123">
                  <c:v>1.2749999999999995</c:v>
                </c:pt>
                <c:pt idx="124">
                  <c:v>1.2749999999999995</c:v>
                </c:pt>
                <c:pt idx="125">
                  <c:v>1.2749999999999995</c:v>
                </c:pt>
                <c:pt idx="126">
                  <c:v>1.2899999999999994</c:v>
                </c:pt>
                <c:pt idx="127">
                  <c:v>1.2899999999999994</c:v>
                </c:pt>
                <c:pt idx="128">
                  <c:v>1.2899999999999994</c:v>
                </c:pt>
                <c:pt idx="129">
                  <c:v>1.2899999999999994</c:v>
                </c:pt>
                <c:pt idx="130">
                  <c:v>1.2899999999999994</c:v>
                </c:pt>
                <c:pt idx="131">
                  <c:v>1.2899999999999994</c:v>
                </c:pt>
                <c:pt idx="132">
                  <c:v>1.2899999999999994</c:v>
                </c:pt>
                <c:pt idx="133">
                  <c:v>1.2899999999999994</c:v>
                </c:pt>
                <c:pt idx="134">
                  <c:v>1.2899999999999994</c:v>
                </c:pt>
                <c:pt idx="135">
                  <c:v>1.2899999999999994</c:v>
                </c:pt>
                <c:pt idx="136">
                  <c:v>1.2899999999999994</c:v>
                </c:pt>
                <c:pt idx="137">
                  <c:v>1.2899999999999994</c:v>
                </c:pt>
                <c:pt idx="138">
                  <c:v>1.2899999999999994</c:v>
                </c:pt>
                <c:pt idx="139">
                  <c:v>1.2899999999999994</c:v>
                </c:pt>
                <c:pt idx="140">
                  <c:v>1.2899999999999994</c:v>
                </c:pt>
                <c:pt idx="141">
                  <c:v>1.2899999999999994</c:v>
                </c:pt>
                <c:pt idx="142">
                  <c:v>1.2899999999999994</c:v>
                </c:pt>
                <c:pt idx="143">
                  <c:v>1.2899999999999994</c:v>
                </c:pt>
                <c:pt idx="144">
                  <c:v>1.2899999999999994</c:v>
                </c:pt>
                <c:pt idx="145">
                  <c:v>1.2899999999999994</c:v>
                </c:pt>
                <c:pt idx="146">
                  <c:v>1.2899999999999994</c:v>
                </c:pt>
                <c:pt idx="147">
                  <c:v>1.3049999999999993</c:v>
                </c:pt>
                <c:pt idx="148">
                  <c:v>1.3049999999999993</c:v>
                </c:pt>
                <c:pt idx="149">
                  <c:v>1.3049999999999993</c:v>
                </c:pt>
                <c:pt idx="150">
                  <c:v>1.3049999999999993</c:v>
                </c:pt>
                <c:pt idx="151">
                  <c:v>1.3049999999999993</c:v>
                </c:pt>
                <c:pt idx="152">
                  <c:v>1.3049999999999993</c:v>
                </c:pt>
                <c:pt idx="153">
                  <c:v>1.3049999999999993</c:v>
                </c:pt>
                <c:pt idx="154">
                  <c:v>1.3049999999999993</c:v>
                </c:pt>
                <c:pt idx="155">
                  <c:v>1.3049999999999993</c:v>
                </c:pt>
                <c:pt idx="156">
                  <c:v>1.3049999999999993</c:v>
                </c:pt>
                <c:pt idx="157">
                  <c:v>1.3049999999999993</c:v>
                </c:pt>
                <c:pt idx="158">
                  <c:v>1.3049999999999993</c:v>
                </c:pt>
                <c:pt idx="159">
                  <c:v>1.3049999999999993</c:v>
                </c:pt>
                <c:pt idx="160">
                  <c:v>1.3049999999999993</c:v>
                </c:pt>
                <c:pt idx="161">
                  <c:v>1.3049999999999993</c:v>
                </c:pt>
                <c:pt idx="162">
                  <c:v>1.3049999999999993</c:v>
                </c:pt>
                <c:pt idx="163">
                  <c:v>1.3049999999999993</c:v>
                </c:pt>
                <c:pt idx="164">
                  <c:v>1.3049999999999993</c:v>
                </c:pt>
                <c:pt idx="165">
                  <c:v>1.3049999999999993</c:v>
                </c:pt>
                <c:pt idx="166">
                  <c:v>1.3049999999999993</c:v>
                </c:pt>
                <c:pt idx="167">
                  <c:v>1.3049999999999993</c:v>
                </c:pt>
                <c:pt idx="168">
                  <c:v>1.3199999999999992</c:v>
                </c:pt>
                <c:pt idx="169">
                  <c:v>1.3199999999999992</c:v>
                </c:pt>
                <c:pt idx="170">
                  <c:v>1.3199999999999992</c:v>
                </c:pt>
                <c:pt idx="171">
                  <c:v>1.3199999999999992</c:v>
                </c:pt>
                <c:pt idx="172">
                  <c:v>1.3199999999999992</c:v>
                </c:pt>
                <c:pt idx="173">
                  <c:v>1.3199999999999992</c:v>
                </c:pt>
                <c:pt idx="174">
                  <c:v>1.3199999999999992</c:v>
                </c:pt>
                <c:pt idx="175">
                  <c:v>1.3199999999999992</c:v>
                </c:pt>
                <c:pt idx="176">
                  <c:v>1.3199999999999992</c:v>
                </c:pt>
                <c:pt idx="177">
                  <c:v>1.3199999999999992</c:v>
                </c:pt>
                <c:pt idx="178">
                  <c:v>1.3199999999999992</c:v>
                </c:pt>
                <c:pt idx="179">
                  <c:v>1.3199999999999992</c:v>
                </c:pt>
                <c:pt idx="180">
                  <c:v>1.3199999999999992</c:v>
                </c:pt>
                <c:pt idx="181">
                  <c:v>1.3199999999999992</c:v>
                </c:pt>
                <c:pt idx="182">
                  <c:v>1.3199999999999992</c:v>
                </c:pt>
                <c:pt idx="183">
                  <c:v>1.3199999999999992</c:v>
                </c:pt>
                <c:pt idx="184">
                  <c:v>1.3199999999999992</c:v>
                </c:pt>
                <c:pt idx="185">
                  <c:v>1.3199999999999992</c:v>
                </c:pt>
                <c:pt idx="186">
                  <c:v>1.3199999999999992</c:v>
                </c:pt>
                <c:pt idx="187">
                  <c:v>1.3199999999999992</c:v>
                </c:pt>
                <c:pt idx="188">
                  <c:v>1.3199999999999992</c:v>
                </c:pt>
                <c:pt idx="189">
                  <c:v>1.3349999999999991</c:v>
                </c:pt>
                <c:pt idx="190">
                  <c:v>1.3349999999999991</c:v>
                </c:pt>
                <c:pt idx="191">
                  <c:v>1.3349999999999991</c:v>
                </c:pt>
                <c:pt idx="192">
                  <c:v>1.3349999999999991</c:v>
                </c:pt>
                <c:pt idx="193">
                  <c:v>1.3349999999999991</c:v>
                </c:pt>
                <c:pt idx="194">
                  <c:v>1.3349999999999991</c:v>
                </c:pt>
                <c:pt idx="195">
                  <c:v>1.3349999999999991</c:v>
                </c:pt>
                <c:pt idx="196">
                  <c:v>1.3349999999999991</c:v>
                </c:pt>
                <c:pt idx="197">
                  <c:v>1.3349999999999991</c:v>
                </c:pt>
                <c:pt idx="198">
                  <c:v>1.3349999999999991</c:v>
                </c:pt>
                <c:pt idx="199">
                  <c:v>1.3349999999999991</c:v>
                </c:pt>
                <c:pt idx="200">
                  <c:v>1.3349999999999991</c:v>
                </c:pt>
                <c:pt idx="201">
                  <c:v>1.3349999999999991</c:v>
                </c:pt>
                <c:pt idx="202">
                  <c:v>1.3349999999999991</c:v>
                </c:pt>
                <c:pt idx="203">
                  <c:v>1.3349999999999991</c:v>
                </c:pt>
                <c:pt idx="204">
                  <c:v>1.3349999999999991</c:v>
                </c:pt>
                <c:pt idx="205">
                  <c:v>1.3349999999999991</c:v>
                </c:pt>
                <c:pt idx="206">
                  <c:v>1.3349999999999991</c:v>
                </c:pt>
                <c:pt idx="207">
                  <c:v>1.3349999999999991</c:v>
                </c:pt>
                <c:pt idx="208">
                  <c:v>1.3349999999999991</c:v>
                </c:pt>
                <c:pt idx="209">
                  <c:v>1.3349999999999991</c:v>
                </c:pt>
                <c:pt idx="210">
                  <c:v>1.349999999999999</c:v>
                </c:pt>
                <c:pt idx="211">
                  <c:v>1.349999999999999</c:v>
                </c:pt>
                <c:pt idx="212">
                  <c:v>1.349999999999999</c:v>
                </c:pt>
                <c:pt idx="213">
                  <c:v>1.349999999999999</c:v>
                </c:pt>
                <c:pt idx="214">
                  <c:v>1.349999999999999</c:v>
                </c:pt>
                <c:pt idx="215">
                  <c:v>1.349999999999999</c:v>
                </c:pt>
                <c:pt idx="216">
                  <c:v>1.349999999999999</c:v>
                </c:pt>
                <c:pt idx="217">
                  <c:v>1.349999999999999</c:v>
                </c:pt>
                <c:pt idx="218">
                  <c:v>1.349999999999999</c:v>
                </c:pt>
                <c:pt idx="219">
                  <c:v>1.349999999999999</c:v>
                </c:pt>
                <c:pt idx="220">
                  <c:v>1.349999999999999</c:v>
                </c:pt>
                <c:pt idx="221">
                  <c:v>1.349999999999999</c:v>
                </c:pt>
                <c:pt idx="222">
                  <c:v>1.349999999999999</c:v>
                </c:pt>
                <c:pt idx="223">
                  <c:v>1.349999999999999</c:v>
                </c:pt>
                <c:pt idx="224">
                  <c:v>1.349999999999999</c:v>
                </c:pt>
                <c:pt idx="225">
                  <c:v>1.349999999999999</c:v>
                </c:pt>
                <c:pt idx="226">
                  <c:v>1.349999999999999</c:v>
                </c:pt>
                <c:pt idx="227">
                  <c:v>1.349999999999999</c:v>
                </c:pt>
                <c:pt idx="228">
                  <c:v>1.349999999999999</c:v>
                </c:pt>
                <c:pt idx="229">
                  <c:v>1.349999999999999</c:v>
                </c:pt>
                <c:pt idx="230">
                  <c:v>1.349999999999999</c:v>
                </c:pt>
                <c:pt idx="231">
                  <c:v>1.3649999999999989</c:v>
                </c:pt>
                <c:pt idx="232">
                  <c:v>1.3649999999999989</c:v>
                </c:pt>
                <c:pt idx="233">
                  <c:v>1.3649999999999989</c:v>
                </c:pt>
                <c:pt idx="234">
                  <c:v>1.3649999999999989</c:v>
                </c:pt>
                <c:pt idx="235">
                  <c:v>1.3649999999999989</c:v>
                </c:pt>
                <c:pt idx="236">
                  <c:v>1.3649999999999989</c:v>
                </c:pt>
                <c:pt idx="237">
                  <c:v>1.3649999999999989</c:v>
                </c:pt>
                <c:pt idx="238">
                  <c:v>1.3649999999999989</c:v>
                </c:pt>
                <c:pt idx="239">
                  <c:v>1.3649999999999989</c:v>
                </c:pt>
                <c:pt idx="240">
                  <c:v>1.3649999999999989</c:v>
                </c:pt>
                <c:pt idx="241">
                  <c:v>1.3649999999999989</c:v>
                </c:pt>
                <c:pt idx="242">
                  <c:v>1.3649999999999989</c:v>
                </c:pt>
                <c:pt idx="243">
                  <c:v>1.3649999999999989</c:v>
                </c:pt>
                <c:pt idx="244">
                  <c:v>1.3649999999999989</c:v>
                </c:pt>
                <c:pt idx="245">
                  <c:v>1.3649999999999989</c:v>
                </c:pt>
                <c:pt idx="246">
                  <c:v>1.3649999999999989</c:v>
                </c:pt>
                <c:pt idx="247">
                  <c:v>1.3649999999999989</c:v>
                </c:pt>
                <c:pt idx="248">
                  <c:v>1.3649999999999989</c:v>
                </c:pt>
                <c:pt idx="249">
                  <c:v>1.3649999999999989</c:v>
                </c:pt>
                <c:pt idx="250">
                  <c:v>1.3649999999999989</c:v>
                </c:pt>
                <c:pt idx="251">
                  <c:v>1.3649999999999989</c:v>
                </c:pt>
                <c:pt idx="252">
                  <c:v>1.3799999999999988</c:v>
                </c:pt>
                <c:pt idx="253">
                  <c:v>1.3799999999999988</c:v>
                </c:pt>
                <c:pt idx="254">
                  <c:v>1.3799999999999988</c:v>
                </c:pt>
                <c:pt idx="255">
                  <c:v>1.3799999999999988</c:v>
                </c:pt>
                <c:pt idx="256">
                  <c:v>1.3799999999999988</c:v>
                </c:pt>
                <c:pt idx="257">
                  <c:v>1.3799999999999988</c:v>
                </c:pt>
                <c:pt idx="258">
                  <c:v>1.3799999999999988</c:v>
                </c:pt>
                <c:pt idx="259">
                  <c:v>1.3799999999999988</c:v>
                </c:pt>
                <c:pt idx="260">
                  <c:v>1.3799999999999988</c:v>
                </c:pt>
                <c:pt idx="261">
                  <c:v>1.3799999999999988</c:v>
                </c:pt>
                <c:pt idx="262">
                  <c:v>1.3799999999999988</c:v>
                </c:pt>
                <c:pt idx="263">
                  <c:v>1.3799999999999988</c:v>
                </c:pt>
                <c:pt idx="264">
                  <c:v>1.3799999999999988</c:v>
                </c:pt>
                <c:pt idx="265">
                  <c:v>1.3799999999999988</c:v>
                </c:pt>
                <c:pt idx="266">
                  <c:v>1.3799999999999988</c:v>
                </c:pt>
                <c:pt idx="267">
                  <c:v>1.3799999999999988</c:v>
                </c:pt>
                <c:pt idx="268">
                  <c:v>1.3799999999999988</c:v>
                </c:pt>
                <c:pt idx="269">
                  <c:v>1.3799999999999988</c:v>
                </c:pt>
                <c:pt idx="270">
                  <c:v>1.3799999999999988</c:v>
                </c:pt>
                <c:pt idx="271">
                  <c:v>1.3799999999999988</c:v>
                </c:pt>
                <c:pt idx="272">
                  <c:v>1.3799999999999988</c:v>
                </c:pt>
                <c:pt idx="273">
                  <c:v>1.3949999999999987</c:v>
                </c:pt>
                <c:pt idx="274">
                  <c:v>1.3949999999999987</c:v>
                </c:pt>
                <c:pt idx="275">
                  <c:v>1.3949999999999987</c:v>
                </c:pt>
                <c:pt idx="276">
                  <c:v>1.3949999999999987</c:v>
                </c:pt>
                <c:pt idx="277">
                  <c:v>1.3949999999999987</c:v>
                </c:pt>
                <c:pt idx="278">
                  <c:v>1.3949999999999987</c:v>
                </c:pt>
                <c:pt idx="279">
                  <c:v>1.3949999999999987</c:v>
                </c:pt>
                <c:pt idx="280">
                  <c:v>1.3949999999999987</c:v>
                </c:pt>
                <c:pt idx="281">
                  <c:v>1.3949999999999987</c:v>
                </c:pt>
                <c:pt idx="282">
                  <c:v>1.3949999999999987</c:v>
                </c:pt>
                <c:pt idx="283">
                  <c:v>1.3949999999999987</c:v>
                </c:pt>
                <c:pt idx="284">
                  <c:v>1.3949999999999987</c:v>
                </c:pt>
                <c:pt idx="285">
                  <c:v>1.3949999999999987</c:v>
                </c:pt>
                <c:pt idx="286">
                  <c:v>1.3949999999999987</c:v>
                </c:pt>
                <c:pt idx="287">
                  <c:v>1.3949999999999987</c:v>
                </c:pt>
                <c:pt idx="288">
                  <c:v>1.3949999999999987</c:v>
                </c:pt>
                <c:pt idx="289">
                  <c:v>1.3949999999999987</c:v>
                </c:pt>
                <c:pt idx="290">
                  <c:v>1.3949999999999987</c:v>
                </c:pt>
                <c:pt idx="291">
                  <c:v>1.3949999999999987</c:v>
                </c:pt>
                <c:pt idx="292">
                  <c:v>1.3949999999999987</c:v>
                </c:pt>
                <c:pt idx="293">
                  <c:v>1.3949999999999987</c:v>
                </c:pt>
                <c:pt idx="294">
                  <c:v>1.4099999999999986</c:v>
                </c:pt>
                <c:pt idx="295">
                  <c:v>1.4099999999999986</c:v>
                </c:pt>
                <c:pt idx="296">
                  <c:v>1.4099999999999986</c:v>
                </c:pt>
                <c:pt idx="297">
                  <c:v>1.4099999999999986</c:v>
                </c:pt>
                <c:pt idx="298">
                  <c:v>1.4099999999999986</c:v>
                </c:pt>
                <c:pt idx="299">
                  <c:v>1.4099999999999986</c:v>
                </c:pt>
                <c:pt idx="300">
                  <c:v>1.4099999999999986</c:v>
                </c:pt>
                <c:pt idx="301">
                  <c:v>1.4099999999999986</c:v>
                </c:pt>
                <c:pt idx="302">
                  <c:v>1.4099999999999986</c:v>
                </c:pt>
                <c:pt idx="303">
                  <c:v>1.4099999999999986</c:v>
                </c:pt>
                <c:pt idx="304">
                  <c:v>1.4099999999999986</c:v>
                </c:pt>
                <c:pt idx="305">
                  <c:v>1.4099999999999986</c:v>
                </c:pt>
                <c:pt idx="306">
                  <c:v>1.4099999999999986</c:v>
                </c:pt>
                <c:pt idx="307">
                  <c:v>1.4099999999999986</c:v>
                </c:pt>
                <c:pt idx="308">
                  <c:v>1.4099999999999986</c:v>
                </c:pt>
                <c:pt idx="309">
                  <c:v>1.4099999999999986</c:v>
                </c:pt>
                <c:pt idx="310">
                  <c:v>1.4099999999999986</c:v>
                </c:pt>
                <c:pt idx="311">
                  <c:v>1.4099999999999986</c:v>
                </c:pt>
                <c:pt idx="312">
                  <c:v>1.4099999999999986</c:v>
                </c:pt>
                <c:pt idx="313">
                  <c:v>1.4099999999999986</c:v>
                </c:pt>
                <c:pt idx="314">
                  <c:v>1.4099999999999986</c:v>
                </c:pt>
                <c:pt idx="315">
                  <c:v>1.4249999999999985</c:v>
                </c:pt>
                <c:pt idx="316">
                  <c:v>1.4249999999999985</c:v>
                </c:pt>
                <c:pt idx="317">
                  <c:v>1.4249999999999985</c:v>
                </c:pt>
                <c:pt idx="318">
                  <c:v>1.4249999999999985</c:v>
                </c:pt>
                <c:pt idx="319">
                  <c:v>1.4249999999999985</c:v>
                </c:pt>
                <c:pt idx="320">
                  <c:v>1.4249999999999985</c:v>
                </c:pt>
                <c:pt idx="321">
                  <c:v>1.4249999999999985</c:v>
                </c:pt>
                <c:pt idx="322">
                  <c:v>1.4249999999999985</c:v>
                </c:pt>
                <c:pt idx="323">
                  <c:v>1.4249999999999985</c:v>
                </c:pt>
                <c:pt idx="324">
                  <c:v>1.4249999999999985</c:v>
                </c:pt>
                <c:pt idx="325">
                  <c:v>1.4249999999999985</c:v>
                </c:pt>
                <c:pt idx="326">
                  <c:v>1.4249999999999985</c:v>
                </c:pt>
                <c:pt idx="327">
                  <c:v>1.4249999999999985</c:v>
                </c:pt>
                <c:pt idx="328">
                  <c:v>1.4249999999999985</c:v>
                </c:pt>
                <c:pt idx="329">
                  <c:v>1.4249999999999985</c:v>
                </c:pt>
                <c:pt idx="330">
                  <c:v>1.4249999999999985</c:v>
                </c:pt>
                <c:pt idx="331">
                  <c:v>1.4249999999999985</c:v>
                </c:pt>
                <c:pt idx="332">
                  <c:v>1.4249999999999985</c:v>
                </c:pt>
                <c:pt idx="333">
                  <c:v>1.4249999999999985</c:v>
                </c:pt>
                <c:pt idx="334">
                  <c:v>1.4249999999999985</c:v>
                </c:pt>
                <c:pt idx="335">
                  <c:v>1.4249999999999985</c:v>
                </c:pt>
                <c:pt idx="336">
                  <c:v>1.4399999999999984</c:v>
                </c:pt>
                <c:pt idx="337">
                  <c:v>1.4399999999999984</c:v>
                </c:pt>
                <c:pt idx="338">
                  <c:v>1.4399999999999984</c:v>
                </c:pt>
                <c:pt idx="339">
                  <c:v>1.4399999999999984</c:v>
                </c:pt>
                <c:pt idx="340">
                  <c:v>1.4399999999999984</c:v>
                </c:pt>
                <c:pt idx="341">
                  <c:v>1.4399999999999984</c:v>
                </c:pt>
                <c:pt idx="342">
                  <c:v>1.4399999999999984</c:v>
                </c:pt>
                <c:pt idx="343">
                  <c:v>1.4399999999999984</c:v>
                </c:pt>
                <c:pt idx="344">
                  <c:v>1.4399999999999984</c:v>
                </c:pt>
                <c:pt idx="345">
                  <c:v>1.4399999999999984</c:v>
                </c:pt>
                <c:pt idx="346">
                  <c:v>1.4399999999999984</c:v>
                </c:pt>
                <c:pt idx="347">
                  <c:v>1.4399999999999984</c:v>
                </c:pt>
                <c:pt idx="348">
                  <c:v>1.4399999999999984</c:v>
                </c:pt>
                <c:pt idx="349">
                  <c:v>1.4399999999999984</c:v>
                </c:pt>
                <c:pt idx="350">
                  <c:v>1.4399999999999984</c:v>
                </c:pt>
                <c:pt idx="351">
                  <c:v>1.4399999999999984</c:v>
                </c:pt>
                <c:pt idx="352">
                  <c:v>1.4399999999999984</c:v>
                </c:pt>
                <c:pt idx="353">
                  <c:v>1.4399999999999984</c:v>
                </c:pt>
                <c:pt idx="354">
                  <c:v>1.4399999999999984</c:v>
                </c:pt>
                <c:pt idx="355">
                  <c:v>1.4399999999999984</c:v>
                </c:pt>
                <c:pt idx="356">
                  <c:v>1.4399999999999984</c:v>
                </c:pt>
                <c:pt idx="357">
                  <c:v>1.4549999999999983</c:v>
                </c:pt>
                <c:pt idx="358">
                  <c:v>1.4549999999999983</c:v>
                </c:pt>
                <c:pt idx="359">
                  <c:v>1.4549999999999983</c:v>
                </c:pt>
                <c:pt idx="360">
                  <c:v>1.4549999999999983</c:v>
                </c:pt>
                <c:pt idx="361">
                  <c:v>1.4549999999999983</c:v>
                </c:pt>
                <c:pt idx="362">
                  <c:v>1.4549999999999983</c:v>
                </c:pt>
                <c:pt idx="363">
                  <c:v>1.4549999999999983</c:v>
                </c:pt>
                <c:pt idx="364">
                  <c:v>1.4549999999999983</c:v>
                </c:pt>
                <c:pt idx="365">
                  <c:v>1.4549999999999983</c:v>
                </c:pt>
                <c:pt idx="366">
                  <c:v>1.4549999999999983</c:v>
                </c:pt>
                <c:pt idx="367">
                  <c:v>1.4549999999999983</c:v>
                </c:pt>
                <c:pt idx="368">
                  <c:v>1.4549999999999983</c:v>
                </c:pt>
                <c:pt idx="369">
                  <c:v>1.4549999999999983</c:v>
                </c:pt>
                <c:pt idx="370">
                  <c:v>1.4549999999999983</c:v>
                </c:pt>
                <c:pt idx="371">
                  <c:v>1.4549999999999983</c:v>
                </c:pt>
                <c:pt idx="372">
                  <c:v>1.4549999999999983</c:v>
                </c:pt>
                <c:pt idx="373">
                  <c:v>1.4549999999999983</c:v>
                </c:pt>
                <c:pt idx="374">
                  <c:v>1.4549999999999983</c:v>
                </c:pt>
                <c:pt idx="375">
                  <c:v>1.4549999999999983</c:v>
                </c:pt>
                <c:pt idx="376">
                  <c:v>1.4549999999999983</c:v>
                </c:pt>
                <c:pt idx="377">
                  <c:v>1.4549999999999983</c:v>
                </c:pt>
                <c:pt idx="378">
                  <c:v>1.4699999999999982</c:v>
                </c:pt>
                <c:pt idx="379">
                  <c:v>1.4699999999999982</c:v>
                </c:pt>
                <c:pt idx="380">
                  <c:v>1.4699999999999982</c:v>
                </c:pt>
                <c:pt idx="381">
                  <c:v>1.4699999999999982</c:v>
                </c:pt>
                <c:pt idx="382">
                  <c:v>1.4699999999999982</c:v>
                </c:pt>
                <c:pt idx="383">
                  <c:v>1.4699999999999982</c:v>
                </c:pt>
                <c:pt idx="384">
                  <c:v>1.4699999999999982</c:v>
                </c:pt>
                <c:pt idx="385">
                  <c:v>1.4699999999999982</c:v>
                </c:pt>
                <c:pt idx="386">
                  <c:v>1.4699999999999982</c:v>
                </c:pt>
                <c:pt idx="387">
                  <c:v>1.4699999999999982</c:v>
                </c:pt>
                <c:pt idx="388">
                  <c:v>1.4699999999999982</c:v>
                </c:pt>
                <c:pt idx="389">
                  <c:v>1.4699999999999982</c:v>
                </c:pt>
                <c:pt idx="390">
                  <c:v>1.4699999999999982</c:v>
                </c:pt>
                <c:pt idx="391">
                  <c:v>1.4699999999999982</c:v>
                </c:pt>
                <c:pt idx="392">
                  <c:v>1.4699999999999982</c:v>
                </c:pt>
                <c:pt idx="393">
                  <c:v>1.4699999999999982</c:v>
                </c:pt>
                <c:pt idx="394">
                  <c:v>1.4699999999999982</c:v>
                </c:pt>
                <c:pt idx="395">
                  <c:v>1.4699999999999982</c:v>
                </c:pt>
                <c:pt idx="396">
                  <c:v>1.4699999999999982</c:v>
                </c:pt>
                <c:pt idx="397">
                  <c:v>1.4699999999999982</c:v>
                </c:pt>
                <c:pt idx="398">
                  <c:v>1.4699999999999982</c:v>
                </c:pt>
                <c:pt idx="399">
                  <c:v>1.4849999999999981</c:v>
                </c:pt>
                <c:pt idx="400">
                  <c:v>1.4849999999999981</c:v>
                </c:pt>
                <c:pt idx="401">
                  <c:v>1.4849999999999981</c:v>
                </c:pt>
                <c:pt idx="402">
                  <c:v>1.4849999999999981</c:v>
                </c:pt>
                <c:pt idx="403">
                  <c:v>1.4849999999999981</c:v>
                </c:pt>
                <c:pt idx="404">
                  <c:v>1.4849999999999981</c:v>
                </c:pt>
                <c:pt idx="405">
                  <c:v>1.4849999999999981</c:v>
                </c:pt>
                <c:pt idx="406">
                  <c:v>1.4849999999999981</c:v>
                </c:pt>
                <c:pt idx="407">
                  <c:v>1.4849999999999981</c:v>
                </c:pt>
                <c:pt idx="408">
                  <c:v>1.4849999999999981</c:v>
                </c:pt>
                <c:pt idx="409">
                  <c:v>1.4849999999999981</c:v>
                </c:pt>
                <c:pt idx="410">
                  <c:v>1.4849999999999981</c:v>
                </c:pt>
                <c:pt idx="411">
                  <c:v>1.4849999999999981</c:v>
                </c:pt>
                <c:pt idx="412">
                  <c:v>1.4849999999999981</c:v>
                </c:pt>
                <c:pt idx="413">
                  <c:v>1.4849999999999981</c:v>
                </c:pt>
                <c:pt idx="414">
                  <c:v>1.4849999999999981</c:v>
                </c:pt>
                <c:pt idx="415">
                  <c:v>1.4849999999999981</c:v>
                </c:pt>
                <c:pt idx="416">
                  <c:v>1.4849999999999981</c:v>
                </c:pt>
                <c:pt idx="417">
                  <c:v>1.4849999999999981</c:v>
                </c:pt>
                <c:pt idx="418">
                  <c:v>1.4849999999999981</c:v>
                </c:pt>
                <c:pt idx="419">
                  <c:v>1.4849999999999981</c:v>
                </c:pt>
                <c:pt idx="420">
                  <c:v>1.499999999999998</c:v>
                </c:pt>
                <c:pt idx="421">
                  <c:v>1.499999999999998</c:v>
                </c:pt>
                <c:pt idx="422">
                  <c:v>1.499999999999998</c:v>
                </c:pt>
                <c:pt idx="423">
                  <c:v>1.499999999999998</c:v>
                </c:pt>
                <c:pt idx="424">
                  <c:v>1.499999999999998</c:v>
                </c:pt>
                <c:pt idx="425">
                  <c:v>1.499999999999998</c:v>
                </c:pt>
                <c:pt idx="426">
                  <c:v>1.499999999999998</c:v>
                </c:pt>
                <c:pt idx="427">
                  <c:v>1.499999999999998</c:v>
                </c:pt>
                <c:pt idx="428">
                  <c:v>1.499999999999998</c:v>
                </c:pt>
                <c:pt idx="429">
                  <c:v>1.499999999999998</c:v>
                </c:pt>
                <c:pt idx="430">
                  <c:v>1.499999999999998</c:v>
                </c:pt>
                <c:pt idx="431">
                  <c:v>1.499999999999998</c:v>
                </c:pt>
                <c:pt idx="432">
                  <c:v>1.499999999999998</c:v>
                </c:pt>
                <c:pt idx="433">
                  <c:v>1.499999999999998</c:v>
                </c:pt>
                <c:pt idx="434">
                  <c:v>1.499999999999998</c:v>
                </c:pt>
                <c:pt idx="435">
                  <c:v>1.499999999999998</c:v>
                </c:pt>
                <c:pt idx="436">
                  <c:v>1.499999999999998</c:v>
                </c:pt>
                <c:pt idx="437">
                  <c:v>1.499999999999998</c:v>
                </c:pt>
                <c:pt idx="438">
                  <c:v>1.499999999999998</c:v>
                </c:pt>
                <c:pt idx="439">
                  <c:v>1.499999999999998</c:v>
                </c:pt>
                <c:pt idx="440">
                  <c:v>1.499999999999998</c:v>
                </c:pt>
              </c:numCache>
            </c:numRef>
          </c:xVal>
          <c:yVal>
            <c:numRef>
              <c:f>optimization!$L$11:$L$20000</c:f>
              <c:numCache>
                <c:formatCode>General</c:formatCode>
                <c:ptCount val="19990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4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6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4</c:v>
                </c:pt>
                <c:pt idx="41">
                  <c:v>4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6</c:v>
                </c:pt>
                <c:pt idx="106">
                  <c:v>6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6</c:v>
                </c:pt>
                <c:pt idx="148">
                  <c:v>6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6</c:v>
                </c:pt>
                <c:pt idx="169">
                  <c:v>6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6</c:v>
                </c:pt>
                <c:pt idx="190">
                  <c:v>5</c:v>
                </c:pt>
                <c:pt idx="191">
                  <c:v>5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5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5</c:v>
                </c:pt>
                <c:pt idx="204">
                  <c:v>5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6</c:v>
                </c:pt>
                <c:pt idx="211">
                  <c:v>5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5</c:v>
                </c:pt>
                <c:pt idx="224">
                  <c:v>5</c:v>
                </c:pt>
                <c:pt idx="225">
                  <c:v>5</c:v>
                </c:pt>
                <c:pt idx="226">
                  <c:v>4</c:v>
                </c:pt>
                <c:pt idx="227">
                  <c:v>4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6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5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5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4</c:v>
                </c:pt>
                <c:pt idx="251">
                  <c:v>4</c:v>
                </c:pt>
                <c:pt idx="252">
                  <c:v>6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5</c:v>
                </c:pt>
                <c:pt idx="263">
                  <c:v>5</c:v>
                </c:pt>
                <c:pt idx="264">
                  <c:v>5</c:v>
                </c:pt>
                <c:pt idx="265">
                  <c:v>5</c:v>
                </c:pt>
                <c:pt idx="266">
                  <c:v>4</c:v>
                </c:pt>
                <c:pt idx="267">
                  <c:v>4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6</c:v>
                </c:pt>
                <c:pt idx="274">
                  <c:v>5</c:v>
                </c:pt>
                <c:pt idx="275">
                  <c:v>5</c:v>
                </c:pt>
                <c:pt idx="276">
                  <c:v>5</c:v>
                </c:pt>
                <c:pt idx="277">
                  <c:v>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5</c:v>
                </c:pt>
                <c:pt idx="284">
                  <c:v>5</c:v>
                </c:pt>
                <c:pt idx="285">
                  <c:v>5</c:v>
                </c:pt>
                <c:pt idx="286">
                  <c:v>5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5</c:v>
                </c:pt>
                <c:pt idx="319">
                  <c:v>5</c:v>
                </c:pt>
                <c:pt idx="320">
                  <c:v>5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5</c:v>
                </c:pt>
                <c:pt idx="326">
                  <c:v>5</c:v>
                </c:pt>
                <c:pt idx="327">
                  <c:v>4</c:v>
                </c:pt>
                <c:pt idx="328">
                  <c:v>4</c:v>
                </c:pt>
                <c:pt idx="329">
                  <c:v>4</c:v>
                </c:pt>
                <c:pt idx="330">
                  <c:v>4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</c:v>
                </c:pt>
                <c:pt idx="341">
                  <c:v>5</c:v>
                </c:pt>
                <c:pt idx="342">
                  <c:v>5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5</c:v>
                </c:pt>
                <c:pt idx="347">
                  <c:v>4</c:v>
                </c:pt>
                <c:pt idx="348">
                  <c:v>4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4</c:v>
                </c:pt>
                <c:pt idx="355">
                  <c:v>4</c:v>
                </c:pt>
                <c:pt idx="356">
                  <c:v>4</c:v>
                </c:pt>
                <c:pt idx="357">
                  <c:v>5</c:v>
                </c:pt>
                <c:pt idx="358">
                  <c:v>5</c:v>
                </c:pt>
                <c:pt idx="359">
                  <c:v>5</c:v>
                </c:pt>
                <c:pt idx="360">
                  <c:v>5</c:v>
                </c:pt>
                <c:pt idx="361">
                  <c:v>5</c:v>
                </c:pt>
                <c:pt idx="362">
                  <c:v>5</c:v>
                </c:pt>
                <c:pt idx="363">
                  <c:v>5</c:v>
                </c:pt>
                <c:pt idx="364">
                  <c:v>5</c:v>
                </c:pt>
                <c:pt idx="365">
                  <c:v>5</c:v>
                </c:pt>
                <c:pt idx="366">
                  <c:v>5</c:v>
                </c:pt>
                <c:pt idx="367">
                  <c:v>4</c:v>
                </c:pt>
                <c:pt idx="368">
                  <c:v>4</c:v>
                </c:pt>
                <c:pt idx="369">
                  <c:v>4</c:v>
                </c:pt>
                <c:pt idx="370">
                  <c:v>4</c:v>
                </c:pt>
                <c:pt idx="371">
                  <c:v>4</c:v>
                </c:pt>
                <c:pt idx="372">
                  <c:v>4</c:v>
                </c:pt>
                <c:pt idx="373">
                  <c:v>4</c:v>
                </c:pt>
                <c:pt idx="374">
                  <c:v>4</c:v>
                </c:pt>
                <c:pt idx="375">
                  <c:v>4</c:v>
                </c:pt>
                <c:pt idx="376">
                  <c:v>4</c:v>
                </c:pt>
                <c:pt idx="377">
                  <c:v>4</c:v>
                </c:pt>
                <c:pt idx="378">
                  <c:v>5</c:v>
                </c:pt>
                <c:pt idx="379">
                  <c:v>5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5</c:v>
                </c:pt>
                <c:pt idx="386">
                  <c:v>5</c:v>
                </c:pt>
                <c:pt idx="387">
                  <c:v>5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4</c:v>
                </c:pt>
                <c:pt idx="396">
                  <c:v>4</c:v>
                </c:pt>
                <c:pt idx="397">
                  <c:v>4</c:v>
                </c:pt>
                <c:pt idx="398">
                  <c:v>4</c:v>
                </c:pt>
                <c:pt idx="399">
                  <c:v>5</c:v>
                </c:pt>
                <c:pt idx="400">
                  <c:v>5</c:v>
                </c:pt>
                <c:pt idx="401">
                  <c:v>5</c:v>
                </c:pt>
                <c:pt idx="402">
                  <c:v>5</c:v>
                </c:pt>
                <c:pt idx="403">
                  <c:v>5</c:v>
                </c:pt>
                <c:pt idx="404">
                  <c:v>5</c:v>
                </c:pt>
                <c:pt idx="405">
                  <c:v>5</c:v>
                </c:pt>
                <c:pt idx="406">
                  <c:v>5</c:v>
                </c:pt>
                <c:pt idx="407">
                  <c:v>5</c:v>
                </c:pt>
                <c:pt idx="408">
                  <c:v>4</c:v>
                </c:pt>
                <c:pt idx="409">
                  <c:v>4</c:v>
                </c:pt>
                <c:pt idx="410">
                  <c:v>4</c:v>
                </c:pt>
                <c:pt idx="411">
                  <c:v>4</c:v>
                </c:pt>
                <c:pt idx="412">
                  <c:v>4</c:v>
                </c:pt>
                <c:pt idx="413">
                  <c:v>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</c:v>
                </c:pt>
                <c:pt idx="418">
                  <c:v>4</c:v>
                </c:pt>
                <c:pt idx="419">
                  <c:v>4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5</c:v>
                </c:pt>
                <c:pt idx="424">
                  <c:v>5</c:v>
                </c:pt>
                <c:pt idx="425">
                  <c:v>5</c:v>
                </c:pt>
                <c:pt idx="426">
                  <c:v>5</c:v>
                </c:pt>
                <c:pt idx="427">
                  <c:v>5</c:v>
                </c:pt>
                <c:pt idx="428">
                  <c:v>5</c:v>
                </c:pt>
                <c:pt idx="429">
                  <c:v>4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4</c:v>
                </c:pt>
                <c:pt idx="434">
                  <c:v>4</c:v>
                </c:pt>
                <c:pt idx="435">
                  <c:v>4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7-4A0C-BBC7-8E4E139DF8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85519"/>
        <c:axId val="1557568591"/>
      </c:scatterChart>
      <c:valAx>
        <c:axId val="1485985519"/>
        <c:scaling>
          <c:orientation val="minMax"/>
          <c:min val="1.15000000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7568591"/>
        <c:crosses val="autoZero"/>
        <c:crossBetween val="midCat"/>
      </c:valAx>
      <c:valAx>
        <c:axId val="1557568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Number of stages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598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615638670166229"/>
          <c:y val="0.14442694663167105"/>
          <c:w val="0.81888674816298646"/>
          <c:h val="0.67147180265264084"/>
        </c:manualLayout>
      </c:layout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7384662630226588"/>
                  <c:y val="-0.141862498791159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partB!$Q$2:$Q$18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partB!$Y$2:$Y$18</c:f>
              <c:numCache>
                <c:formatCode>General</c:formatCode>
                <c:ptCount val="17"/>
                <c:pt idx="0">
                  <c:v>15380.588430838203</c:v>
                </c:pt>
                <c:pt idx="1">
                  <c:v>14873.725253699929</c:v>
                </c:pt>
                <c:pt idx="2">
                  <c:v>14354.048424093044</c:v>
                </c:pt>
                <c:pt idx="3">
                  <c:v>13457.920078737532</c:v>
                </c:pt>
                <c:pt idx="4">
                  <c:v>12858.107198909473</c:v>
                </c:pt>
                <c:pt idx="5">
                  <c:v>10447.943687806181</c:v>
                </c:pt>
                <c:pt idx="6">
                  <c:v>9426.1552712233643</c:v>
                </c:pt>
                <c:pt idx="7">
                  <c:v>9109.3604178192327</c:v>
                </c:pt>
                <c:pt idx="8">
                  <c:v>8324.9078301119353</c:v>
                </c:pt>
                <c:pt idx="9">
                  <c:v>7687.3735670088945</c:v>
                </c:pt>
                <c:pt idx="10">
                  <c:v>5039.7601755793439</c:v>
                </c:pt>
                <c:pt idx="11">
                  <c:v>4286.6743455823444</c:v>
                </c:pt>
                <c:pt idx="12">
                  <c:v>3696.7328046099233</c:v>
                </c:pt>
                <c:pt idx="13">
                  <c:v>2599.5471245504032</c:v>
                </c:pt>
                <c:pt idx="14">
                  <c:v>1919.9165173423255</c:v>
                </c:pt>
                <c:pt idx="15">
                  <c:v>1054.0959571773974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B1D-AD43-666AB1408CCD}"/>
            </c:ext>
          </c:extLst>
        </c:ser>
        <c:ser>
          <c:idx val="1"/>
          <c:order val="1"/>
          <c:tx>
            <c:strRef>
              <c:f>partB!$Z$1</c:f>
              <c:strCache>
                <c:ptCount val="1"/>
                <c:pt idx="0">
                  <c:v>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dk1">
                  <a:tint val="55000"/>
                </a:schemeClr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55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27590086508593"/>
                  <c:y val="-0.37350921702129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partB!$R$2:$R$18</c:f>
              <c:numCache>
                <c:formatCode>General</c:formatCode>
                <c:ptCount val="17"/>
                <c:pt idx="0">
                  <c:v>0</c:v>
                </c:pt>
                <c:pt idx="1">
                  <c:v>0.105</c:v>
                </c:pt>
                <c:pt idx="2">
                  <c:v>0.22500000000000001</c:v>
                </c:pt>
                <c:pt idx="3">
                  <c:v>0.40500000000000003</c:v>
                </c:pt>
                <c:pt idx="4">
                  <c:v>0.47199999999999998</c:v>
                </c:pt>
                <c:pt idx="5">
                  <c:v>0.69799999999999995</c:v>
                </c:pt>
                <c:pt idx="6">
                  <c:v>0.75</c:v>
                </c:pt>
                <c:pt idx="7">
                  <c:v>0.77300000000000002</c:v>
                </c:pt>
                <c:pt idx="8">
                  <c:v>0.80900000000000005</c:v>
                </c:pt>
                <c:pt idx="9">
                  <c:v>0.83699999999999997</c:v>
                </c:pt>
                <c:pt idx="10">
                  <c:v>0.93</c:v>
                </c:pt>
                <c:pt idx="11">
                  <c:v>0.94299999999999995</c:v>
                </c:pt>
                <c:pt idx="12">
                  <c:v>0.95099999999999996</c:v>
                </c:pt>
                <c:pt idx="13">
                  <c:v>0.97199999999999998</c:v>
                </c:pt>
                <c:pt idx="14">
                  <c:v>0.97799999999999998</c:v>
                </c:pt>
                <c:pt idx="15">
                  <c:v>0.98799999999999999</c:v>
                </c:pt>
                <c:pt idx="16">
                  <c:v>1</c:v>
                </c:pt>
              </c:numCache>
            </c:numRef>
          </c:xVal>
          <c:yVal>
            <c:numRef>
              <c:f>partB!$Z$2:$Z$18</c:f>
              <c:numCache>
                <c:formatCode>General</c:formatCode>
                <c:ptCount val="17"/>
                <c:pt idx="0">
                  <c:v>67680.588430838208</c:v>
                </c:pt>
                <c:pt idx="1">
                  <c:v>64085.751815506723</c:v>
                </c:pt>
                <c:pt idx="2">
                  <c:v>60017.343406703032</c:v>
                </c:pt>
                <c:pt idx="3">
                  <c:v>53927.506108150832</c:v>
                </c:pt>
                <c:pt idx="4">
                  <c:v>51518.360153199828</c:v>
                </c:pt>
                <c:pt idx="5">
                  <c:v>43434.728866774589</c:v>
                </c:pt>
                <c:pt idx="6">
                  <c:v>41411.087264956397</c:v>
                </c:pt>
                <c:pt idx="7">
                  <c:v>40583.031649364661</c:v>
                </c:pt>
                <c:pt idx="8">
                  <c:v>39164.286902834676</c:v>
                </c:pt>
                <c:pt idx="9">
                  <c:v>38066.607042475574</c:v>
                </c:pt>
                <c:pt idx="10">
                  <c:v>34419.513550982301</c:v>
                </c:pt>
                <c:pt idx="11">
                  <c:v>33829.110707914137</c:v>
                </c:pt>
                <c:pt idx="12">
                  <c:v>33447.253644961696</c:v>
                </c:pt>
                <c:pt idx="13">
                  <c:v>32588.103186301021</c:v>
                </c:pt>
                <c:pt idx="14">
                  <c:v>32275.805996887939</c:v>
                </c:pt>
                <c:pt idx="15">
                  <c:v>31824.170910905057</c:v>
                </c:pt>
                <c:pt idx="16">
                  <c:v>31300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CB-4B1D-AD43-666AB1408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49936"/>
        <c:axId val="148153856"/>
        <c:extLst/>
      </c:scatterChart>
      <c:valAx>
        <c:axId val="14814993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53856"/>
        <c:crosses val="autoZero"/>
        <c:crossBetween val="midCat"/>
      </c:valAx>
      <c:valAx>
        <c:axId val="1481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Title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4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099431321084855"/>
          <c:y val="0.10253645377661126"/>
          <c:w val="0.22900568166639146"/>
          <c:h val="0.352778069271177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2615638670166229"/>
          <c:y val="0.14442694663167105"/>
          <c:w val="0.81888674816298646"/>
          <c:h val="0.67147180265264084"/>
        </c:manualLayout>
      </c:layout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dk1">
                    <a:tint val="885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885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6779137424914403"/>
                  <c:y val="-6.65390768426577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'[1]part b'!$Q$2:$Q$18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'[1]part b'!$Y$2:$Y$18</c:f>
              <c:numCache>
                <c:formatCode>General</c:formatCode>
                <c:ptCount val="17"/>
                <c:pt idx="0">
                  <c:v>15380.588430838203</c:v>
                </c:pt>
                <c:pt idx="1">
                  <c:v>14873.725253699929</c:v>
                </c:pt>
                <c:pt idx="2">
                  <c:v>14354.048424093044</c:v>
                </c:pt>
                <c:pt idx="3">
                  <c:v>13457.920078737532</c:v>
                </c:pt>
                <c:pt idx="4">
                  <c:v>12858.107198909473</c:v>
                </c:pt>
                <c:pt idx="5">
                  <c:v>10447.943687806181</c:v>
                </c:pt>
                <c:pt idx="6">
                  <c:v>9426.1552712233643</c:v>
                </c:pt>
                <c:pt idx="7">
                  <c:v>9109.3604178192327</c:v>
                </c:pt>
                <c:pt idx="8">
                  <c:v>8324.9078301119353</c:v>
                </c:pt>
                <c:pt idx="9">
                  <c:v>7687.3735670088945</c:v>
                </c:pt>
                <c:pt idx="10">
                  <c:v>5039.7601755793439</c:v>
                </c:pt>
                <c:pt idx="11">
                  <c:v>4286.6743455823444</c:v>
                </c:pt>
                <c:pt idx="12">
                  <c:v>3696.7328046099233</c:v>
                </c:pt>
                <c:pt idx="13">
                  <c:v>2599.5471245504032</c:v>
                </c:pt>
                <c:pt idx="14">
                  <c:v>1919.9165173423255</c:v>
                </c:pt>
                <c:pt idx="15">
                  <c:v>1054.0959571773974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45-4F8F-82D2-B26FDFEB5125}"/>
            </c:ext>
          </c:extLst>
        </c:ser>
        <c:ser>
          <c:idx val="1"/>
          <c:order val="1"/>
          <c:tx>
            <c:strRef>
              <c:f>'[1]part b'!$Z$1</c:f>
              <c:strCache>
                <c:ptCount val="1"/>
                <c:pt idx="0">
                  <c:v>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dk1">
                  <a:tint val="55000"/>
                </a:schemeClr>
              </a:solidFill>
              <a:ln w="9525">
                <a:solidFill>
                  <a:sysClr val="windowText" lastClr="00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dk1">
                    <a:tint val="55000"/>
                  </a:schemeClr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063664976792897"/>
                  <c:y val="-0.224692003363987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'[1]part b'!$R$2:$R$18</c:f>
              <c:numCache>
                <c:formatCode>General</c:formatCode>
                <c:ptCount val="17"/>
                <c:pt idx="0">
                  <c:v>0</c:v>
                </c:pt>
                <c:pt idx="1">
                  <c:v>0.105</c:v>
                </c:pt>
                <c:pt idx="2">
                  <c:v>0.22500000000000001</c:v>
                </c:pt>
                <c:pt idx="3">
                  <c:v>0.40500000000000003</c:v>
                </c:pt>
                <c:pt idx="4">
                  <c:v>0.47199999999999998</c:v>
                </c:pt>
                <c:pt idx="5">
                  <c:v>0.69799999999999995</c:v>
                </c:pt>
                <c:pt idx="6">
                  <c:v>0.75</c:v>
                </c:pt>
                <c:pt idx="7">
                  <c:v>0.77300000000000002</c:v>
                </c:pt>
                <c:pt idx="8">
                  <c:v>0.80900000000000005</c:v>
                </c:pt>
                <c:pt idx="9">
                  <c:v>0.83699999999999997</c:v>
                </c:pt>
                <c:pt idx="10">
                  <c:v>0.93</c:v>
                </c:pt>
                <c:pt idx="11">
                  <c:v>0.94299999999999995</c:v>
                </c:pt>
                <c:pt idx="12">
                  <c:v>0.95099999999999996</c:v>
                </c:pt>
                <c:pt idx="13">
                  <c:v>0.97199999999999998</c:v>
                </c:pt>
                <c:pt idx="14">
                  <c:v>0.97799999999999998</c:v>
                </c:pt>
                <c:pt idx="15">
                  <c:v>0.98799999999999999</c:v>
                </c:pt>
                <c:pt idx="16">
                  <c:v>1</c:v>
                </c:pt>
              </c:numCache>
            </c:numRef>
          </c:xVal>
          <c:yVal>
            <c:numRef>
              <c:f>'[1]part b'!$Z$2:$Z$18</c:f>
              <c:numCache>
                <c:formatCode>General</c:formatCode>
                <c:ptCount val="17"/>
                <c:pt idx="0">
                  <c:v>67680.588430838208</c:v>
                </c:pt>
                <c:pt idx="1">
                  <c:v>64085.751815506723</c:v>
                </c:pt>
                <c:pt idx="2">
                  <c:v>60017.343406703032</c:v>
                </c:pt>
                <c:pt idx="3">
                  <c:v>53927.506108150832</c:v>
                </c:pt>
                <c:pt idx="4">
                  <c:v>51518.360153199828</c:v>
                </c:pt>
                <c:pt idx="5">
                  <c:v>43434.728866774589</c:v>
                </c:pt>
                <c:pt idx="6">
                  <c:v>41411.087264956397</c:v>
                </c:pt>
                <c:pt idx="7">
                  <c:v>40583.031649364661</c:v>
                </c:pt>
                <c:pt idx="8">
                  <c:v>39164.286902834676</c:v>
                </c:pt>
                <c:pt idx="9">
                  <c:v>38066.607042475574</c:v>
                </c:pt>
                <c:pt idx="10">
                  <c:v>34419.513550982301</c:v>
                </c:pt>
                <c:pt idx="11">
                  <c:v>33829.110707914137</c:v>
                </c:pt>
                <c:pt idx="12">
                  <c:v>33447.253644961696</c:v>
                </c:pt>
                <c:pt idx="13">
                  <c:v>32588.103186301021</c:v>
                </c:pt>
                <c:pt idx="14">
                  <c:v>32275.805996887939</c:v>
                </c:pt>
                <c:pt idx="15">
                  <c:v>31824.170910905057</c:v>
                </c:pt>
                <c:pt idx="16">
                  <c:v>31300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245-4F8F-82D2-B26FDFEB5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149936"/>
        <c:axId val="148153856"/>
        <c:extLst/>
      </c:scatterChart>
      <c:valAx>
        <c:axId val="14814993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xa,</a:t>
                </a:r>
                <a:r>
                  <a:rPr lang="en-US" baseline="0"/>
                  <a:t> ya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53856"/>
        <c:crosses val="autoZero"/>
        <c:crossBetween val="midCat"/>
      </c:valAx>
      <c:valAx>
        <c:axId val="1481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Enthalpy</a:t>
                </a:r>
                <a:r>
                  <a:rPr lang="en-US" baseline="0"/>
                  <a:t> (j/kg)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149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32996304462145"/>
          <c:y val="8.594113129378779E-2"/>
          <c:w val="0.87646849577573693"/>
          <c:h val="0.84100117880494074"/>
        </c:manualLayout>
      </c:layout>
      <c:scatterChart>
        <c:scatterStyle val="lineMarker"/>
        <c:varyColors val="0"/>
        <c:ser>
          <c:idx val="0"/>
          <c:order val="0"/>
          <c:tx>
            <c:v>enriching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964618845381336"/>
                  <c:y val="-8.62288492374376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'[1]part b'!$N$22:$N$58</c:f>
              <c:numCache>
                <c:formatCode>General</c:formatCode>
                <c:ptCount val="37"/>
                <c:pt idx="0">
                  <c:v>0.95</c:v>
                </c:pt>
                <c:pt idx="1">
                  <c:v>0.89999999999999991</c:v>
                </c:pt>
                <c:pt idx="2">
                  <c:v>0.89999999999999991</c:v>
                </c:pt>
                <c:pt idx="3">
                  <c:v>0.84999999999999987</c:v>
                </c:pt>
                <c:pt idx="4">
                  <c:v>0.84999999999999987</c:v>
                </c:pt>
                <c:pt idx="5">
                  <c:v>0.79999999999999982</c:v>
                </c:pt>
                <c:pt idx="6">
                  <c:v>0.79999999999999982</c:v>
                </c:pt>
                <c:pt idx="7">
                  <c:v>0.74999999999999978</c:v>
                </c:pt>
                <c:pt idx="8">
                  <c:v>0.74999999999999978</c:v>
                </c:pt>
                <c:pt idx="9">
                  <c:v>0.69999999999999973</c:v>
                </c:pt>
                <c:pt idx="10">
                  <c:v>0.69999999999999973</c:v>
                </c:pt>
                <c:pt idx="11">
                  <c:v>0.64999999999999969</c:v>
                </c:pt>
                <c:pt idx="12">
                  <c:v>0.64999999999999969</c:v>
                </c:pt>
                <c:pt idx="13">
                  <c:v>0.59999999999999964</c:v>
                </c:pt>
                <c:pt idx="14">
                  <c:v>0.59999999999999964</c:v>
                </c:pt>
                <c:pt idx="15">
                  <c:v>0.5</c:v>
                </c:pt>
                <c:pt idx="16">
                  <c:v>0.5</c:v>
                </c:pt>
                <c:pt idx="17">
                  <c:v>0.4</c:v>
                </c:pt>
                <c:pt idx="18">
                  <c:v>0.4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</c:numCache>
            </c:numRef>
          </c:xVal>
          <c:yVal>
            <c:numRef>
              <c:f>'[1]part b'!$O$22:$O$58</c:f>
              <c:numCache>
                <c:formatCode>General</c:formatCode>
                <c:ptCount val="37"/>
                <c:pt idx="0">
                  <c:v>0.95</c:v>
                </c:pt>
                <c:pt idx="1">
                  <c:v>0.93034494725663752</c:v>
                </c:pt>
                <c:pt idx="2">
                  <c:v>0.93038965728145617</c:v>
                </c:pt>
                <c:pt idx="3">
                  <c:v>0.91137188462148555</c:v>
                </c:pt>
                <c:pt idx="4">
                  <c:v>0.91150815224805704</c:v>
                </c:pt>
                <c:pt idx="5">
                  <c:v>0.89310839469267544</c:v>
                </c:pt>
                <c:pt idx="6">
                  <c:v>0.89331386226333731</c:v>
                </c:pt>
                <c:pt idx="7">
                  <c:v>0.8755835678058459</c:v>
                </c:pt>
                <c:pt idx="8">
                  <c:v>0.8757589498653906</c:v>
                </c:pt>
                <c:pt idx="9">
                  <c:v>0.8588281064826313</c:v>
                </c:pt>
                <c:pt idx="10">
                  <c:v>0.85878865553640282</c:v>
                </c:pt>
                <c:pt idx="11">
                  <c:v>0.84287443868394407</c:v>
                </c:pt>
                <c:pt idx="12">
                  <c:v>0.84234050720129661</c:v>
                </c:pt>
                <c:pt idx="13">
                  <c:v>0.82775684074631428</c:v>
                </c:pt>
                <c:pt idx="14">
                  <c:v>0.82634343575633917</c:v>
                </c:pt>
                <c:pt idx="15">
                  <c:v>0.79551193557073441</c:v>
                </c:pt>
                <c:pt idx="16">
                  <c:v>0.79689495190151405</c:v>
                </c:pt>
                <c:pt idx="17">
                  <c:v>0.76639571541906948</c:v>
                </c:pt>
                <c:pt idx="18">
                  <c:v>0.76920676250514908</c:v>
                </c:pt>
                <c:pt idx="19">
                  <c:v>0.74367593966885337</c:v>
                </c:pt>
                <c:pt idx="20">
                  <c:v>0.7410787804910145</c:v>
                </c:pt>
                <c:pt idx="21">
                  <c:v>0.7423821984904958</c:v>
                </c:pt>
                <c:pt idx="22">
                  <c:v>0.720308745862138</c:v>
                </c:pt>
                <c:pt idx="23">
                  <c:v>0.71514941825524747</c:v>
                </c:pt>
                <c:pt idx="24">
                  <c:v>0.71823314577322706</c:v>
                </c:pt>
                <c:pt idx="25">
                  <c:v>0.71639000338536163</c:v>
                </c:pt>
                <c:pt idx="26">
                  <c:v>0.71749164866437498</c:v>
                </c:pt>
                <c:pt idx="27">
                  <c:v>0.71683319583470617</c:v>
                </c:pt>
                <c:pt idx="28">
                  <c:v>0.68975515216689487</c:v>
                </c:pt>
                <c:pt idx="29">
                  <c:v>0.6963744986910424</c:v>
                </c:pt>
                <c:pt idx="30">
                  <c:v>0.69174157546632087</c:v>
                </c:pt>
                <c:pt idx="31">
                  <c:v>0.79535483747476166</c:v>
                </c:pt>
                <c:pt idx="32">
                  <c:v>0.79694633217400102</c:v>
                </c:pt>
                <c:pt idx="33">
                  <c:v>0.79642582025562114</c:v>
                </c:pt>
                <c:pt idx="34">
                  <c:v>0.79659605811899892</c:v>
                </c:pt>
                <c:pt idx="35">
                  <c:v>0.67575628318198666</c:v>
                </c:pt>
                <c:pt idx="36">
                  <c:v>0.6681182392044418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4F3-4B3F-A2F0-5602E1916CA8}"/>
            </c:ext>
          </c:extLst>
        </c:ser>
        <c:ser>
          <c:idx val="1"/>
          <c:order val="1"/>
          <c:tx>
            <c:v>stripping 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1758492108221281"/>
                  <c:y val="-1.94495493450676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'[1]part b'!$R$39:$R$54</c:f>
              <c:numCache>
                <c:formatCode>General</c:formatCode>
                <c:ptCount val="16"/>
                <c:pt idx="0">
                  <c:v>0.25865273056984139</c:v>
                </c:pt>
                <c:pt idx="1">
                  <c:v>0.29974535944439523</c:v>
                </c:pt>
                <c:pt idx="2">
                  <c:v>0.34013324195814393</c:v>
                </c:pt>
                <c:pt idx="3">
                  <c:v>0.37987082784702347</c:v>
                </c:pt>
                <c:pt idx="4">
                  <c:v>0.41898938232389821</c:v>
                </c:pt>
                <c:pt idx="5">
                  <c:v>4.5993573196301436E-2</c:v>
                </c:pt>
                <c:pt idx="6">
                  <c:v>9.1016681816916106E-2</c:v>
                </c:pt>
                <c:pt idx="7">
                  <c:v>0.13516121291559161</c:v>
                </c:pt>
                <c:pt idx="8">
                  <c:v>0.17844311425760184</c:v>
                </c:pt>
                <c:pt idx="9">
                  <c:v>0.22092340984211664</c:v>
                </c:pt>
                <c:pt idx="10">
                  <c:v>0.26264597715351934</c:v>
                </c:pt>
                <c:pt idx="11">
                  <c:v>0.30365091490046664</c:v>
                </c:pt>
                <c:pt idx="12">
                  <c:v>0.34397495269339656</c:v>
                </c:pt>
                <c:pt idx="13">
                  <c:v>0.38365180834850765</c:v>
                </c:pt>
                <c:pt idx="14">
                  <c:v>0.42271250047083631</c:v>
                </c:pt>
                <c:pt idx="15">
                  <c:v>0</c:v>
                </c:pt>
              </c:numCache>
            </c:numRef>
          </c:xVal>
          <c:yVal>
            <c:numRef>
              <c:f>'[1]part b'!$Q$39:$Q$54</c:f>
              <c:numCache>
                <c:formatCode>General</c:formatCode>
                <c:ptCount val="16"/>
                <c:pt idx="0">
                  <c:v>0.59040199999999998</c:v>
                </c:pt>
                <c:pt idx="1">
                  <c:v>0.69040199999999996</c:v>
                </c:pt>
                <c:pt idx="2">
                  <c:v>0.79040199999999994</c:v>
                </c:pt>
                <c:pt idx="3">
                  <c:v>0.89040199999999992</c:v>
                </c:pt>
                <c:pt idx="4">
                  <c:v>0.99040199999999989</c:v>
                </c:pt>
                <c:pt idx="5">
                  <c:v>0.1</c:v>
                </c:pt>
                <c:pt idx="6">
                  <c:v>0.2</c:v>
                </c:pt>
                <c:pt idx="7">
                  <c:v>0.30000000000000004</c:v>
                </c:pt>
                <c:pt idx="8">
                  <c:v>0.4</c:v>
                </c:pt>
                <c:pt idx="9">
                  <c:v>0.5</c:v>
                </c:pt>
                <c:pt idx="10">
                  <c:v>0.6</c:v>
                </c:pt>
                <c:pt idx="11">
                  <c:v>0.7</c:v>
                </c:pt>
                <c:pt idx="12">
                  <c:v>0.79999999999999993</c:v>
                </c:pt>
                <c:pt idx="13">
                  <c:v>0.89999999999999991</c:v>
                </c:pt>
                <c:pt idx="14">
                  <c:v>0.99999999999999989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4F3-4B3F-A2F0-5602E1916CA8}"/>
            </c:ext>
          </c:extLst>
        </c:ser>
        <c:ser>
          <c:idx val="2"/>
          <c:order val="2"/>
          <c:tx>
            <c:v>equilibrium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6"/>
            <c:intercept val="0"/>
            <c:dispRSqr val="0"/>
            <c:dispEq val="1"/>
            <c:trendlineLbl>
              <c:layout>
                <c:manualLayout>
                  <c:x val="0.19374832015866969"/>
                  <c:y val="0.625376522012900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'[1]part b'!$T$40:$T$56</c:f>
              <c:numCache>
                <c:formatCode>General</c:formatCode>
                <c:ptCount val="17"/>
                <c:pt idx="0">
                  <c:v>0</c:v>
                </c:pt>
                <c:pt idx="1">
                  <c:v>0.01</c:v>
                </c:pt>
                <c:pt idx="2">
                  <c:v>2.5000000000000001E-2</c:v>
                </c:pt>
                <c:pt idx="3">
                  <c:v>0.05</c:v>
                </c:pt>
                <c:pt idx="4">
                  <c:v>7.0000000000000007E-2</c:v>
                </c:pt>
                <c:pt idx="5">
                  <c:v>0.154</c:v>
                </c:pt>
                <c:pt idx="6">
                  <c:v>0.19800000000000001</c:v>
                </c:pt>
                <c:pt idx="7">
                  <c:v>0.215</c:v>
                </c:pt>
                <c:pt idx="8">
                  <c:v>0.26500000000000001</c:v>
                </c:pt>
                <c:pt idx="9">
                  <c:v>0.312</c:v>
                </c:pt>
                <c:pt idx="10">
                  <c:v>0.53500000000000003</c:v>
                </c:pt>
                <c:pt idx="11">
                  <c:v>0.60699999999999998</c:v>
                </c:pt>
                <c:pt idx="12">
                  <c:v>0.65900000000000003</c:v>
                </c:pt>
                <c:pt idx="13">
                  <c:v>0.76300000000000001</c:v>
                </c:pt>
                <c:pt idx="14">
                  <c:v>0.81899999999999995</c:v>
                </c:pt>
                <c:pt idx="15">
                  <c:v>0.89700000000000002</c:v>
                </c:pt>
                <c:pt idx="16">
                  <c:v>1</c:v>
                </c:pt>
              </c:numCache>
            </c:numRef>
          </c:xVal>
          <c:yVal>
            <c:numRef>
              <c:f>'[1]part b'!$U$40:$U$56</c:f>
              <c:numCache>
                <c:formatCode>General</c:formatCode>
                <c:ptCount val="17"/>
                <c:pt idx="0">
                  <c:v>0</c:v>
                </c:pt>
                <c:pt idx="1">
                  <c:v>0.105</c:v>
                </c:pt>
                <c:pt idx="2">
                  <c:v>0.22500000000000001</c:v>
                </c:pt>
                <c:pt idx="3">
                  <c:v>0.40500000000000003</c:v>
                </c:pt>
                <c:pt idx="4">
                  <c:v>0.47199999999999998</c:v>
                </c:pt>
                <c:pt idx="5">
                  <c:v>0.69799999999999995</c:v>
                </c:pt>
                <c:pt idx="6">
                  <c:v>0.75</c:v>
                </c:pt>
                <c:pt idx="7">
                  <c:v>0.77300000000000002</c:v>
                </c:pt>
                <c:pt idx="8">
                  <c:v>0.80900000000000005</c:v>
                </c:pt>
                <c:pt idx="9">
                  <c:v>0.83699999999999997</c:v>
                </c:pt>
                <c:pt idx="10">
                  <c:v>0.93</c:v>
                </c:pt>
                <c:pt idx="11">
                  <c:v>0.94299999999999995</c:v>
                </c:pt>
                <c:pt idx="12">
                  <c:v>0.95099999999999996</c:v>
                </c:pt>
                <c:pt idx="13">
                  <c:v>0.97199999999999998</c:v>
                </c:pt>
                <c:pt idx="14">
                  <c:v>0.97799999999999998</c:v>
                </c:pt>
                <c:pt idx="15">
                  <c:v>0.98799999999999999</c:v>
                </c:pt>
                <c:pt idx="16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4F3-4B3F-A2F0-5602E1916CA8}"/>
            </c:ext>
          </c:extLst>
        </c:ser>
        <c:ser>
          <c:idx val="3"/>
          <c:order val="3"/>
          <c:tx>
            <c:v>45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'[1]part b'!$X$40:$X$50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'[1]part b'!$W$40:$W$50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4F3-4B3F-A2F0-5602E1916CA8}"/>
            </c:ext>
          </c:extLst>
        </c:ser>
        <c:ser>
          <c:idx val="4"/>
          <c:order val="4"/>
          <c:tx>
            <c:v>stages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partB!$AB$21:$AB$30</c:f>
              <c:numCache>
                <c:formatCode>General</c:formatCode>
                <c:ptCount val="10"/>
                <c:pt idx="1">
                  <c:v>0.95</c:v>
                </c:pt>
                <c:pt idx="2">
                  <c:v>0.54905891689028796</c:v>
                </c:pt>
                <c:pt idx="3">
                  <c:v>0.54905891689028796</c:v>
                </c:pt>
                <c:pt idx="4">
                  <c:v>0.2943630962123634</c:v>
                </c:pt>
                <c:pt idx="5">
                  <c:v>0.2943630962123634</c:v>
                </c:pt>
                <c:pt idx="6">
                  <c:v>0.13972906020763806</c:v>
                </c:pt>
                <c:pt idx="7">
                  <c:v>0.13972906020763806</c:v>
                </c:pt>
                <c:pt idx="8">
                  <c:v>4.0301435621296816E-2</c:v>
                </c:pt>
              </c:numCache>
            </c:numRef>
          </c:xVal>
          <c:yVal>
            <c:numRef>
              <c:f>partB!$AC$21:$AC$29</c:f>
              <c:numCache>
                <c:formatCode>General</c:formatCode>
                <c:ptCount val="9"/>
                <c:pt idx="1">
                  <c:v>0.93438999999999994</c:v>
                </c:pt>
                <c:pt idx="2">
                  <c:v>0.93438999999999994</c:v>
                </c:pt>
                <c:pt idx="3">
                  <c:v>0.81803689768156151</c:v>
                </c:pt>
                <c:pt idx="4">
                  <c:v>0.81803689768156151</c:v>
                </c:pt>
                <c:pt idx="5">
                  <c:v>0.68471799809957845</c:v>
                </c:pt>
                <c:pt idx="6">
                  <c:v>0.68471799809957845</c:v>
                </c:pt>
                <c:pt idx="7">
                  <c:v>0.32502376694898688</c:v>
                </c:pt>
                <c:pt idx="8">
                  <c:v>0.32502376694898688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BFA-40FC-BDA6-3DD1B2C0BD7C}"/>
            </c:ext>
          </c:extLst>
        </c:ser>
        <c:ser>
          <c:idx val="5"/>
          <c:order val="5"/>
          <c:tx>
            <c:v>q-line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partB!$Q$43:$Q$63</c:f>
              <c:numCache>
                <c:formatCode>General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</c:numCache>
            </c:numRef>
          </c:xVal>
          <c:yVal>
            <c:numRef>
              <c:f>partB!$R$43:$R$63</c:f>
              <c:numCache>
                <c:formatCode>General</c:formatCode>
                <c:ptCount val="21"/>
                <c:pt idx="0">
                  <c:v>0.76159638699999999</c:v>
                </c:pt>
                <c:pt idx="1">
                  <c:v>0.73543674824999994</c:v>
                </c:pt>
                <c:pt idx="2">
                  <c:v>0.7092771095</c:v>
                </c:pt>
                <c:pt idx="3">
                  <c:v>0.68311747074999996</c:v>
                </c:pt>
                <c:pt idx="4">
                  <c:v>0.65695783200000002</c:v>
                </c:pt>
                <c:pt idx="5">
                  <c:v>0.63079819324999997</c:v>
                </c:pt>
                <c:pt idx="6">
                  <c:v>0.60463855449999993</c:v>
                </c:pt>
                <c:pt idx="7">
                  <c:v>0.57847891574999999</c:v>
                </c:pt>
                <c:pt idx="8">
                  <c:v>0.55231927699999994</c:v>
                </c:pt>
                <c:pt idx="9">
                  <c:v>0.52615963825000001</c:v>
                </c:pt>
                <c:pt idx="10">
                  <c:v>0.49999999949999996</c:v>
                </c:pt>
                <c:pt idx="11">
                  <c:v>0.47384036074999991</c:v>
                </c:pt>
                <c:pt idx="12">
                  <c:v>0.44768072199999998</c:v>
                </c:pt>
                <c:pt idx="13">
                  <c:v>0.42152108324999993</c:v>
                </c:pt>
                <c:pt idx="14">
                  <c:v>0.39536144449999999</c:v>
                </c:pt>
                <c:pt idx="15">
                  <c:v>0.36920180574999995</c:v>
                </c:pt>
                <c:pt idx="16">
                  <c:v>0.3430421669999999</c:v>
                </c:pt>
                <c:pt idx="17">
                  <c:v>0.31688252824999996</c:v>
                </c:pt>
                <c:pt idx="18">
                  <c:v>0.29072288949999991</c:v>
                </c:pt>
                <c:pt idx="19">
                  <c:v>0.26456325074999998</c:v>
                </c:pt>
                <c:pt idx="20">
                  <c:v>0.23840361199999993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40-4851-BFAE-2DD358238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54784"/>
        <c:axId val="191657528"/>
      </c:scatterChart>
      <c:valAx>
        <c:axId val="191654784"/>
        <c:scaling>
          <c:orientation val="minMax"/>
          <c:max val="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57528"/>
        <c:crosses val="autoZero"/>
        <c:crossBetween val="midCat"/>
      </c:valAx>
      <c:valAx>
        <c:axId val="191657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5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258233</xdr:colOff>
          <xdr:row>12</xdr:row>
          <xdr:rowOff>105833</xdr:rowOff>
        </xdr:from>
        <xdr:to>
          <xdr:col>7</xdr:col>
          <xdr:colOff>1515533</xdr:colOff>
          <xdr:row>20</xdr:row>
          <xdr:rowOff>122767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19456" tIns="228600" rIns="219456" bIns="228600" anchor="ctr" upright="1"/>
            <a:lstStyle/>
            <a:p>
              <a:pPr algn="ctr" rtl="0">
                <a:defRPr sz="1000"/>
              </a:pPr>
              <a:r>
                <a:rPr lang="en-CA" sz="6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42333</xdr:colOff>
      <xdr:row>27</xdr:row>
      <xdr:rowOff>62695</xdr:rowOff>
    </xdr:from>
    <xdr:to>
      <xdr:col>7</xdr:col>
      <xdr:colOff>1344083</xdr:colOff>
      <xdr:row>54</xdr:row>
      <xdr:rowOff>105834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55941</xdr:colOff>
      <xdr:row>7</xdr:row>
      <xdr:rowOff>106326</xdr:rowOff>
    </xdr:from>
    <xdr:to>
      <xdr:col>16</xdr:col>
      <xdr:colOff>1516441</xdr:colOff>
      <xdr:row>36</xdr:row>
      <xdr:rowOff>237370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29633</xdr:colOff>
          <xdr:row>3</xdr:row>
          <xdr:rowOff>59267</xdr:rowOff>
        </xdr:from>
        <xdr:to>
          <xdr:col>3</xdr:col>
          <xdr:colOff>867833</xdr:colOff>
          <xdr:row>6</xdr:row>
          <xdr:rowOff>122767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possible optimization combinations </a:t>
              </a:r>
            </a:p>
            <a:p>
              <a:pPr algn="ctr" rtl="0">
                <a:defRPr sz="1000"/>
              </a:pPr>
              <a:endParaRPr lang="en-CA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84667</xdr:colOff>
          <xdr:row>3</xdr:row>
          <xdr:rowOff>38100</xdr:rowOff>
        </xdr:from>
        <xdr:to>
          <xdr:col>8</xdr:col>
          <xdr:colOff>571500</xdr:colOff>
          <xdr:row>6</xdr:row>
          <xdr:rowOff>143933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based on Rf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122767</xdr:colOff>
          <xdr:row>3</xdr:row>
          <xdr:rowOff>59267</xdr:rowOff>
        </xdr:from>
        <xdr:to>
          <xdr:col>13</xdr:col>
          <xdr:colOff>1722967</xdr:colOff>
          <xdr:row>6</xdr:row>
          <xdr:rowOff>114300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 based on temperature 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2232121</xdr:colOff>
      <xdr:row>10</xdr:row>
      <xdr:rowOff>17703</xdr:rowOff>
    </xdr:from>
    <xdr:to>
      <xdr:col>22</xdr:col>
      <xdr:colOff>145279</xdr:colOff>
      <xdr:row>31</xdr:row>
      <xdr:rowOff>68311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2247514</xdr:colOff>
      <xdr:row>31</xdr:row>
      <xdr:rowOff>123152</xdr:rowOff>
    </xdr:from>
    <xdr:to>
      <xdr:col>22</xdr:col>
      <xdr:colOff>215517</xdr:colOff>
      <xdr:row>50</xdr:row>
      <xdr:rowOff>23091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2409149</xdr:colOff>
      <xdr:row>51</xdr:row>
      <xdr:rowOff>163943</xdr:rowOff>
    </xdr:from>
    <xdr:to>
      <xdr:col>22</xdr:col>
      <xdr:colOff>215514</xdr:colOff>
      <xdr:row>73</xdr:row>
      <xdr:rowOff>69272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0</xdr:colOff>
      <xdr:row>52</xdr:row>
      <xdr:rowOff>21165</xdr:rowOff>
    </xdr:from>
    <xdr:to>
      <xdr:col>33</xdr:col>
      <xdr:colOff>296334</xdr:colOff>
      <xdr:row>73</xdr:row>
      <xdr:rowOff>52916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539746</xdr:colOff>
      <xdr:row>31</xdr:row>
      <xdr:rowOff>74083</xdr:rowOff>
    </xdr:from>
    <xdr:to>
      <xdr:col>36</xdr:col>
      <xdr:colOff>107758</xdr:colOff>
      <xdr:row>53</xdr:row>
      <xdr:rowOff>84667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497411</xdr:colOff>
      <xdr:row>8</xdr:row>
      <xdr:rowOff>147105</xdr:rowOff>
    </xdr:from>
    <xdr:to>
      <xdr:col>33</xdr:col>
      <xdr:colOff>126999</xdr:colOff>
      <xdr:row>30</xdr:row>
      <xdr:rowOff>-1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624417</xdr:colOff>
      <xdr:row>11</xdr:row>
      <xdr:rowOff>0</xdr:rowOff>
    </xdr:from>
    <xdr:to>
      <xdr:col>18</xdr:col>
      <xdr:colOff>274272</xdr:colOff>
      <xdr:row>40</xdr:row>
      <xdr:rowOff>131016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4417" y="2137833"/>
          <a:ext cx="12138188" cy="72853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438831</xdr:colOff>
      <xdr:row>0</xdr:row>
      <xdr:rowOff>447675</xdr:rowOff>
    </xdr:from>
    <xdr:to>
      <xdr:col>34</xdr:col>
      <xdr:colOff>82942</xdr:colOff>
      <xdr:row>12</xdr:row>
      <xdr:rowOff>33797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438830</xdr:colOff>
      <xdr:row>0</xdr:row>
      <xdr:rowOff>558800</xdr:rowOff>
    </xdr:from>
    <xdr:to>
      <xdr:col>34</xdr:col>
      <xdr:colOff>82941</xdr:colOff>
      <xdr:row>12</xdr:row>
      <xdr:rowOff>144922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431029</xdr:colOff>
      <xdr:row>32</xdr:row>
      <xdr:rowOff>7698</xdr:rowOff>
    </xdr:from>
    <xdr:to>
      <xdr:col>30</xdr:col>
      <xdr:colOff>257847</xdr:colOff>
      <xdr:row>46</xdr:row>
      <xdr:rowOff>188578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351367</xdr:colOff>
          <xdr:row>13</xdr:row>
          <xdr:rowOff>8467</xdr:rowOff>
        </xdr:from>
        <xdr:to>
          <xdr:col>30</xdr:col>
          <xdr:colOff>114300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Stages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0.38366</cdr:x>
      <cdr:y>0.16597</cdr:y>
    </cdr:from>
    <cdr:to>
      <cdr:x>0.48518</cdr:x>
      <cdr:y>0.3935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2438ECD-4E84-4D31-9961-9D9C1D3BEBBB}"/>
            </a:ext>
          </a:extLst>
        </cdr:cNvPr>
        <cdr:cNvSpPr txBox="1"/>
      </cdr:nvSpPr>
      <cdr:spPr>
        <a:xfrm xmlns:a="http://schemas.openxmlformats.org/drawingml/2006/main">
          <a:off x="3569607" y="393700"/>
          <a:ext cx="944563" cy="53975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vapour</a:t>
          </a:r>
          <a:r>
            <a:rPr lang="en-US" sz="1100" baseline="0"/>
            <a:t> Enthalpy H</a:t>
          </a:r>
          <a:endParaRPr lang="en-US" sz="1100"/>
        </a:p>
      </cdr:txBody>
    </cdr:sp>
  </cdr:relSizeAnchor>
  <cdr:relSizeAnchor xmlns:cdr="http://schemas.openxmlformats.org/drawingml/2006/chartDrawing">
    <cdr:from>
      <cdr:x>0.20792</cdr:x>
      <cdr:y>0.54407</cdr:y>
    </cdr:from>
    <cdr:to>
      <cdr:x>0.30517</cdr:x>
      <cdr:y>0.79168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D996461-FD3C-4FB1-8AFC-6D54FB82661A}"/>
            </a:ext>
          </a:extLst>
        </cdr:cNvPr>
        <cdr:cNvSpPr txBox="1"/>
      </cdr:nvSpPr>
      <cdr:spPr>
        <a:xfrm xmlns:a="http://schemas.openxmlformats.org/drawingml/2006/main">
          <a:off x="1934482" y="1290636"/>
          <a:ext cx="904875" cy="587375"/>
        </a:xfrm>
        <a:prstGeom xmlns:a="http://schemas.openxmlformats.org/drawingml/2006/main" prst="rect">
          <a:avLst/>
        </a:prstGeom>
        <a:ln xmlns:a="http://schemas.openxmlformats.org/drawingml/2006/main">
          <a:noFill/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liquid Enthalpy h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xunxu\AppData\Local\Packages\Microsoft.MicrosoftEdge_8wekyb3d8bbwe\TempState\Downloads\july-14-optimization-unit-ops-version-1.xls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Design"/>
      <sheetName val="optimization"/>
      <sheetName val="Optimized Results(Non-VBA)"/>
      <sheetName val="part b"/>
      <sheetName val="july-14-optimization-unit-ops-v"/>
    </sheetNames>
    <sheetDataSet>
      <sheetData sheetId="0"/>
      <sheetData sheetId="1"/>
      <sheetData sheetId="2"/>
      <sheetData sheetId="3">
        <row r="1">
          <cell r="Z1" t="str">
            <v>H</v>
          </cell>
        </row>
        <row r="2">
          <cell r="Q2">
            <v>0</v>
          </cell>
          <cell r="R2">
            <v>0</v>
          </cell>
          <cell r="Y2">
            <v>15380.588430838203</v>
          </cell>
          <cell r="Z2">
            <v>67680.588430838208</v>
          </cell>
        </row>
        <row r="3">
          <cell r="Q3">
            <v>0.01</v>
          </cell>
          <cell r="R3">
            <v>0.105</v>
          </cell>
          <cell r="Y3">
            <v>14873.725253699929</v>
          </cell>
          <cell r="Z3">
            <v>64085.751815506723</v>
          </cell>
        </row>
        <row r="4">
          <cell r="Q4">
            <v>2.5000000000000001E-2</v>
          </cell>
          <cell r="R4">
            <v>0.22500000000000001</v>
          </cell>
          <cell r="Y4">
            <v>14354.048424093044</v>
          </cell>
          <cell r="Z4">
            <v>60017.343406703032</v>
          </cell>
        </row>
        <row r="5">
          <cell r="Q5">
            <v>0.05</v>
          </cell>
          <cell r="R5">
            <v>0.40500000000000003</v>
          </cell>
          <cell r="Y5">
            <v>13457.920078737532</v>
          </cell>
          <cell r="Z5">
            <v>53927.506108150832</v>
          </cell>
        </row>
        <row r="6">
          <cell r="Q6">
            <v>7.0000000000000007E-2</v>
          </cell>
          <cell r="R6">
            <v>0.47199999999999998</v>
          </cell>
          <cell r="Y6">
            <v>12858.107198909473</v>
          </cell>
          <cell r="Z6">
            <v>51518.360153199828</v>
          </cell>
        </row>
        <row r="7">
          <cell r="Q7">
            <v>0.154</v>
          </cell>
          <cell r="R7">
            <v>0.69799999999999995</v>
          </cell>
          <cell r="Y7">
            <v>10447.943687806181</v>
          </cell>
          <cell r="Z7">
            <v>43434.728866774589</v>
          </cell>
        </row>
        <row r="8">
          <cell r="Q8">
            <v>0.19800000000000001</v>
          </cell>
          <cell r="R8">
            <v>0.75</v>
          </cell>
          <cell r="Y8">
            <v>9426.1552712233643</v>
          </cell>
          <cell r="Z8">
            <v>41411.087264956397</v>
          </cell>
        </row>
        <row r="9">
          <cell r="Q9">
            <v>0.215</v>
          </cell>
          <cell r="R9">
            <v>0.77300000000000002</v>
          </cell>
          <cell r="Y9">
            <v>9109.3604178192327</v>
          </cell>
          <cell r="Z9">
            <v>40583.031649364661</v>
          </cell>
        </row>
        <row r="10">
          <cell r="Q10">
            <v>0.26500000000000001</v>
          </cell>
          <cell r="R10">
            <v>0.80900000000000005</v>
          </cell>
          <cell r="Y10">
            <v>8324.9078301119353</v>
          </cell>
          <cell r="Z10">
            <v>39164.286902834676</v>
          </cell>
        </row>
        <row r="11">
          <cell r="Q11">
            <v>0.312</v>
          </cell>
          <cell r="R11">
            <v>0.83699999999999997</v>
          </cell>
          <cell r="Y11">
            <v>7687.3735670088945</v>
          </cell>
          <cell r="Z11">
            <v>38066.607042475574</v>
          </cell>
        </row>
        <row r="12">
          <cell r="Q12">
            <v>0.53500000000000003</v>
          </cell>
          <cell r="R12">
            <v>0.93</v>
          </cell>
          <cell r="Y12">
            <v>5039.7601755793439</v>
          </cell>
          <cell r="Z12">
            <v>34419.513550982301</v>
          </cell>
        </row>
        <row r="13">
          <cell r="Q13">
            <v>0.60699999999999998</v>
          </cell>
          <cell r="R13">
            <v>0.94299999999999995</v>
          </cell>
          <cell r="Y13">
            <v>4286.6743455823444</v>
          </cell>
          <cell r="Z13">
            <v>33829.110707914137</v>
          </cell>
        </row>
        <row r="14">
          <cell r="Q14">
            <v>0.65900000000000003</v>
          </cell>
          <cell r="R14">
            <v>0.95099999999999996</v>
          </cell>
          <cell r="Y14">
            <v>3696.7328046099233</v>
          </cell>
          <cell r="Z14">
            <v>33447.253644961696</v>
          </cell>
        </row>
        <row r="15">
          <cell r="Q15">
            <v>0.76300000000000001</v>
          </cell>
          <cell r="R15">
            <v>0.97199999999999998</v>
          </cell>
          <cell r="Y15">
            <v>2599.5471245504032</v>
          </cell>
          <cell r="Z15">
            <v>32588.103186301021</v>
          </cell>
        </row>
        <row r="16">
          <cell r="Q16">
            <v>0.81899999999999995</v>
          </cell>
          <cell r="R16">
            <v>0.97799999999999998</v>
          </cell>
          <cell r="Y16">
            <v>1919.9165173423255</v>
          </cell>
          <cell r="Z16">
            <v>32275.805996887939</v>
          </cell>
        </row>
        <row r="17">
          <cell r="Q17">
            <v>0.89700000000000002</v>
          </cell>
          <cell r="R17">
            <v>0.98799999999999999</v>
          </cell>
          <cell r="Y17">
            <v>1054.0959571773974</v>
          </cell>
          <cell r="Z17">
            <v>31824.170910905057</v>
          </cell>
        </row>
        <row r="18">
          <cell r="Q18">
            <v>1</v>
          </cell>
          <cell r="R18">
            <v>1</v>
          </cell>
          <cell r="Y18">
            <v>0</v>
          </cell>
          <cell r="Z18">
            <v>31300</v>
          </cell>
        </row>
        <row r="22">
          <cell r="N22">
            <v>0.95</v>
          </cell>
          <cell r="O22">
            <v>0.95</v>
          </cell>
        </row>
        <row r="23">
          <cell r="N23">
            <v>0.89999999999999991</v>
          </cell>
          <cell r="O23">
            <v>0.93034494725663752</v>
          </cell>
        </row>
        <row r="24">
          <cell r="N24">
            <v>0.89999999999999991</v>
          </cell>
          <cell r="O24">
            <v>0.93038965728145617</v>
          </cell>
        </row>
        <row r="25">
          <cell r="N25">
            <v>0.84999999999999987</v>
          </cell>
          <cell r="O25">
            <v>0.91137188462148555</v>
          </cell>
        </row>
        <row r="26">
          <cell r="N26">
            <v>0.84999999999999987</v>
          </cell>
          <cell r="O26">
            <v>0.91150815224805704</v>
          </cell>
        </row>
        <row r="27">
          <cell r="N27">
            <v>0.79999999999999982</v>
          </cell>
          <cell r="O27">
            <v>0.89310839469267544</v>
          </cell>
        </row>
        <row r="28">
          <cell r="N28">
            <v>0.79999999999999982</v>
          </cell>
          <cell r="O28">
            <v>0.89331386226333731</v>
          </cell>
        </row>
        <row r="29">
          <cell r="N29">
            <v>0.74999999999999978</v>
          </cell>
          <cell r="O29">
            <v>0.8755835678058459</v>
          </cell>
        </row>
        <row r="30">
          <cell r="N30">
            <v>0.74999999999999978</v>
          </cell>
          <cell r="O30">
            <v>0.8757589498653906</v>
          </cell>
        </row>
        <row r="31">
          <cell r="N31">
            <v>0.69999999999999973</v>
          </cell>
          <cell r="O31">
            <v>0.8588281064826313</v>
          </cell>
        </row>
        <row r="32">
          <cell r="N32">
            <v>0.69999999999999973</v>
          </cell>
          <cell r="O32">
            <v>0.85878865553640282</v>
          </cell>
        </row>
        <row r="33">
          <cell r="N33">
            <v>0.64999999999999969</v>
          </cell>
          <cell r="O33">
            <v>0.84287443868394407</v>
          </cell>
        </row>
        <row r="34">
          <cell r="N34">
            <v>0.64999999999999969</v>
          </cell>
          <cell r="O34">
            <v>0.84234050720129661</v>
          </cell>
        </row>
        <row r="35">
          <cell r="N35">
            <v>0.59999999999999964</v>
          </cell>
          <cell r="O35">
            <v>0.82775684074631428</v>
          </cell>
        </row>
        <row r="36">
          <cell r="N36">
            <v>0.59999999999999964</v>
          </cell>
          <cell r="O36">
            <v>0.82634343575633917</v>
          </cell>
        </row>
        <row r="37">
          <cell r="N37">
            <v>0.5</v>
          </cell>
          <cell r="O37">
            <v>0.79551193557073441</v>
          </cell>
        </row>
        <row r="38">
          <cell r="N38">
            <v>0.5</v>
          </cell>
          <cell r="O38">
            <v>0.79689495190151405</v>
          </cell>
        </row>
        <row r="39">
          <cell r="N39">
            <v>0.4</v>
          </cell>
          <cell r="O39">
            <v>0.76639571541906948</v>
          </cell>
          <cell r="Q39">
            <v>0.59040199999999998</v>
          </cell>
          <cell r="R39">
            <v>0.25865273056984139</v>
          </cell>
        </row>
        <row r="40">
          <cell r="N40">
            <v>0.4</v>
          </cell>
          <cell r="O40">
            <v>0.76920676250514908</v>
          </cell>
          <cell r="Q40">
            <v>0.69040199999999996</v>
          </cell>
          <cell r="R40">
            <v>0.29974535944439523</v>
          </cell>
          <cell r="T40">
            <v>0</v>
          </cell>
          <cell r="U40">
            <v>0</v>
          </cell>
          <cell r="W40">
            <v>0</v>
          </cell>
          <cell r="X40">
            <v>0</v>
          </cell>
        </row>
        <row r="41">
          <cell r="N41">
            <v>0.3</v>
          </cell>
          <cell r="O41">
            <v>0.74367593966885337</v>
          </cell>
          <cell r="Q41">
            <v>0.79040199999999994</v>
          </cell>
          <cell r="R41">
            <v>0.34013324195814393</v>
          </cell>
          <cell r="T41">
            <v>0.01</v>
          </cell>
          <cell r="U41">
            <v>0.105</v>
          </cell>
          <cell r="W41">
            <v>0.1</v>
          </cell>
          <cell r="X41">
            <v>0.1</v>
          </cell>
        </row>
        <row r="42">
          <cell r="N42">
            <v>0.3</v>
          </cell>
          <cell r="O42">
            <v>0.7410787804910145</v>
          </cell>
          <cell r="Q42">
            <v>0.89040199999999992</v>
          </cell>
          <cell r="R42">
            <v>0.37987082784702347</v>
          </cell>
          <cell r="T42">
            <v>2.5000000000000001E-2</v>
          </cell>
          <cell r="U42">
            <v>0.22500000000000001</v>
          </cell>
          <cell r="W42">
            <v>0.2</v>
          </cell>
          <cell r="X42">
            <v>0.2</v>
          </cell>
        </row>
        <row r="43">
          <cell r="N43">
            <v>0.3</v>
          </cell>
          <cell r="O43">
            <v>0.7423821984904958</v>
          </cell>
          <cell r="Q43">
            <v>0.99040199999999989</v>
          </cell>
          <cell r="R43">
            <v>0.41898938232389821</v>
          </cell>
          <cell r="T43">
            <v>0.05</v>
          </cell>
          <cell r="U43">
            <v>0.40500000000000003</v>
          </cell>
          <cell r="W43">
            <v>0.3</v>
          </cell>
          <cell r="X43">
            <v>0.3</v>
          </cell>
        </row>
        <row r="44">
          <cell r="N44">
            <v>0.2</v>
          </cell>
          <cell r="O44">
            <v>0.720308745862138</v>
          </cell>
          <cell r="Q44">
            <v>0.1</v>
          </cell>
          <cell r="R44">
            <v>4.5993573196301436E-2</v>
          </cell>
          <cell r="T44">
            <v>7.0000000000000007E-2</v>
          </cell>
          <cell r="U44">
            <v>0.47199999999999998</v>
          </cell>
          <cell r="W44">
            <v>0.4</v>
          </cell>
          <cell r="X44">
            <v>0.4</v>
          </cell>
        </row>
        <row r="45">
          <cell r="N45">
            <v>0.2</v>
          </cell>
          <cell r="O45">
            <v>0.71514941825524747</v>
          </cell>
          <cell r="Q45">
            <v>0.2</v>
          </cell>
          <cell r="R45">
            <v>9.1016681816916106E-2</v>
          </cell>
          <cell r="T45">
            <v>0.154</v>
          </cell>
          <cell r="U45">
            <v>0.69799999999999995</v>
          </cell>
          <cell r="W45">
            <v>0.5</v>
          </cell>
          <cell r="X45">
            <v>0.5</v>
          </cell>
        </row>
        <row r="46">
          <cell r="N46">
            <v>0.2</v>
          </cell>
          <cell r="O46">
            <v>0.71823314577322706</v>
          </cell>
          <cell r="Q46">
            <v>0.30000000000000004</v>
          </cell>
          <cell r="R46">
            <v>0.13516121291559161</v>
          </cell>
          <cell r="T46">
            <v>0.19800000000000001</v>
          </cell>
          <cell r="U46">
            <v>0.75</v>
          </cell>
          <cell r="W46">
            <v>0.6</v>
          </cell>
          <cell r="X46">
            <v>0.6</v>
          </cell>
        </row>
        <row r="47">
          <cell r="N47">
            <v>0.2</v>
          </cell>
          <cell r="O47">
            <v>0.71639000338536163</v>
          </cell>
          <cell r="Q47">
            <v>0.4</v>
          </cell>
          <cell r="R47">
            <v>0.17844311425760184</v>
          </cell>
          <cell r="T47">
            <v>0.215</v>
          </cell>
          <cell r="U47">
            <v>0.77300000000000002</v>
          </cell>
          <cell r="W47">
            <v>0.7</v>
          </cell>
          <cell r="X47">
            <v>0.7</v>
          </cell>
        </row>
        <row r="48">
          <cell r="N48">
            <v>0.2</v>
          </cell>
          <cell r="O48">
            <v>0.71749164866437498</v>
          </cell>
          <cell r="Q48">
            <v>0.5</v>
          </cell>
          <cell r="R48">
            <v>0.22092340984211664</v>
          </cell>
          <cell r="T48">
            <v>0.26500000000000001</v>
          </cell>
          <cell r="U48">
            <v>0.80900000000000005</v>
          </cell>
          <cell r="W48">
            <v>0.8</v>
          </cell>
          <cell r="X48">
            <v>0.8</v>
          </cell>
        </row>
        <row r="49">
          <cell r="N49">
            <v>0.2</v>
          </cell>
          <cell r="O49">
            <v>0.71683319583470617</v>
          </cell>
          <cell r="Q49">
            <v>0.6</v>
          </cell>
          <cell r="R49">
            <v>0.26264597715351934</v>
          </cell>
          <cell r="T49">
            <v>0.312</v>
          </cell>
          <cell r="U49">
            <v>0.83699999999999997</v>
          </cell>
          <cell r="W49">
            <v>0.9</v>
          </cell>
          <cell r="X49">
            <v>0.9</v>
          </cell>
        </row>
        <row r="50">
          <cell r="N50">
            <v>0.1</v>
          </cell>
          <cell r="O50">
            <v>0.68975515216689487</v>
          </cell>
          <cell r="Q50">
            <v>0.7</v>
          </cell>
          <cell r="R50">
            <v>0.30365091490046664</v>
          </cell>
          <cell r="T50">
            <v>0.53500000000000003</v>
          </cell>
          <cell r="U50">
            <v>0.93</v>
          </cell>
          <cell r="W50">
            <v>1</v>
          </cell>
          <cell r="X50">
            <v>1</v>
          </cell>
        </row>
        <row r="51">
          <cell r="N51">
            <v>0.1</v>
          </cell>
          <cell r="O51">
            <v>0.6963744986910424</v>
          </cell>
          <cell r="Q51">
            <v>0.79999999999999993</v>
          </cell>
          <cell r="R51">
            <v>0.34397495269339656</v>
          </cell>
          <cell r="T51">
            <v>0.60699999999999998</v>
          </cell>
          <cell r="U51">
            <v>0.94299999999999995</v>
          </cell>
        </row>
        <row r="52">
          <cell r="N52">
            <v>0.1</v>
          </cell>
          <cell r="O52">
            <v>0.69174157546632087</v>
          </cell>
          <cell r="Q52">
            <v>0.89999999999999991</v>
          </cell>
          <cell r="R52">
            <v>0.38365180834850765</v>
          </cell>
          <cell r="T52">
            <v>0.65900000000000003</v>
          </cell>
          <cell r="U52">
            <v>0.95099999999999996</v>
          </cell>
        </row>
        <row r="53">
          <cell r="N53">
            <v>0.5</v>
          </cell>
          <cell r="O53">
            <v>0.79535483747476166</v>
          </cell>
          <cell r="Q53">
            <v>0.99999999999999989</v>
          </cell>
          <cell r="R53">
            <v>0.42271250047083631</v>
          </cell>
          <cell r="T53">
            <v>0.76300000000000001</v>
          </cell>
          <cell r="U53">
            <v>0.97199999999999998</v>
          </cell>
        </row>
        <row r="54">
          <cell r="N54">
            <v>0.5</v>
          </cell>
          <cell r="O54">
            <v>0.79694633217400102</v>
          </cell>
          <cell r="Q54">
            <v>0</v>
          </cell>
          <cell r="R54">
            <v>0</v>
          </cell>
          <cell r="T54">
            <v>0.81899999999999995</v>
          </cell>
          <cell r="U54">
            <v>0.97799999999999998</v>
          </cell>
        </row>
        <row r="55">
          <cell r="N55">
            <v>0.5</v>
          </cell>
          <cell r="O55">
            <v>0.79642582025562114</v>
          </cell>
          <cell r="T55">
            <v>0.89700000000000002</v>
          </cell>
          <cell r="U55">
            <v>0.98799999999999999</v>
          </cell>
        </row>
        <row r="56">
          <cell r="N56">
            <v>0.5</v>
          </cell>
          <cell r="O56">
            <v>0.79659605811899892</v>
          </cell>
          <cell r="T56">
            <v>1</v>
          </cell>
          <cell r="U56">
            <v>1</v>
          </cell>
        </row>
        <row r="57">
          <cell r="N57">
            <v>0</v>
          </cell>
          <cell r="O57">
            <v>0.67575628318198666</v>
          </cell>
        </row>
        <row r="58">
          <cell r="N58">
            <v>0</v>
          </cell>
          <cell r="O58">
            <v>0.6681182392044418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AB59"/>
  <sheetViews>
    <sheetView tabSelected="1" zoomScale="40" zoomScaleNormal="40" workbookViewId="0">
      <selection activeCell="H6" sqref="H6"/>
    </sheetView>
  </sheetViews>
  <sheetFormatPr defaultColWidth="9" defaultRowHeight="19.350000000000001"/>
  <cols>
    <col min="1" max="1" width="9" style="36"/>
    <col min="2" max="2" width="18.41015625" style="36" customWidth="1"/>
    <col min="3" max="3" width="9" style="36"/>
    <col min="4" max="4" width="12.703125" style="36" customWidth="1"/>
    <col min="5" max="5" width="21" style="36" customWidth="1"/>
    <col min="6" max="6" width="13" style="36" customWidth="1"/>
    <col min="7" max="7" width="18.5859375" style="36" customWidth="1"/>
    <col min="8" max="8" width="22.703125" style="36" customWidth="1"/>
    <col min="9" max="9" width="31.29296875" style="36" bestFit="1" customWidth="1"/>
    <col min="10" max="10" width="9" style="36"/>
    <col min="11" max="11" width="20" style="36" customWidth="1"/>
    <col min="12" max="12" width="14" style="36" customWidth="1"/>
    <col min="13" max="13" width="12.703125" style="36" customWidth="1"/>
    <col min="14" max="14" width="22.1171875" style="36" customWidth="1"/>
    <col min="15" max="15" width="25.41015625" style="36" customWidth="1"/>
    <col min="16" max="16" width="13.5859375" style="36" customWidth="1"/>
    <col min="17" max="17" width="25.41015625" style="36" customWidth="1"/>
    <col min="18" max="18" width="39.1171875" style="36" customWidth="1"/>
    <col min="19" max="19" width="31" style="36" customWidth="1"/>
    <col min="20" max="20" width="24.703125" style="36" customWidth="1"/>
    <col min="21" max="21" width="23.29296875" style="36" customWidth="1"/>
    <col min="22" max="22" width="23" style="36" customWidth="1"/>
    <col min="23" max="23" width="23.5859375" style="36" customWidth="1"/>
    <col min="24" max="24" width="19" style="36" customWidth="1"/>
    <col min="25" max="25" width="30.5859375" style="36" customWidth="1"/>
    <col min="26" max="26" width="9" style="36"/>
    <col min="27" max="27" width="11.29296875" style="36" bestFit="1" customWidth="1"/>
    <col min="28" max="28" width="18.703125" style="36" customWidth="1"/>
    <col min="29" max="16384" width="9" style="36"/>
  </cols>
  <sheetData>
    <row r="3" spans="2:28">
      <c r="B3" s="32" t="s">
        <v>3</v>
      </c>
      <c r="C3" s="36" t="s">
        <v>1</v>
      </c>
      <c r="F3" s="32" t="s">
        <v>8</v>
      </c>
      <c r="K3" s="32" t="s">
        <v>39</v>
      </c>
      <c r="L3" s="32"/>
      <c r="M3" s="32"/>
      <c r="N3" s="32"/>
      <c r="O3" s="32"/>
      <c r="P3" s="32"/>
      <c r="Q3" s="32"/>
      <c r="R3" s="32"/>
      <c r="S3" s="32"/>
      <c r="T3" s="32"/>
    </row>
    <row r="4" spans="2:28">
      <c r="B4" s="29" t="s">
        <v>2</v>
      </c>
      <c r="C4" s="30">
        <v>350</v>
      </c>
      <c r="D4" s="36" t="s">
        <v>45</v>
      </c>
      <c r="E4" s="36" t="s">
        <v>46</v>
      </c>
      <c r="F4" s="31" t="s">
        <v>9</v>
      </c>
      <c r="G4" s="31" t="s">
        <v>10</v>
      </c>
      <c r="H4" s="31" t="s">
        <v>11</v>
      </c>
      <c r="I4" s="31" t="s">
        <v>12</v>
      </c>
      <c r="J4" s="32"/>
      <c r="K4" s="33" t="s">
        <v>22</v>
      </c>
      <c r="L4" s="33" t="s">
        <v>23</v>
      </c>
      <c r="M4" s="33" t="s">
        <v>24</v>
      </c>
      <c r="N4" s="33" t="s">
        <v>25</v>
      </c>
      <c r="O4" s="33" t="s">
        <v>35</v>
      </c>
      <c r="P4" s="33" t="s">
        <v>27</v>
      </c>
      <c r="Q4" s="33" t="s">
        <v>28</v>
      </c>
      <c r="R4" s="33" t="s">
        <v>29</v>
      </c>
      <c r="S4" s="32"/>
      <c r="T4" s="34" t="s">
        <v>26</v>
      </c>
    </row>
    <row r="5" spans="2:28">
      <c r="B5" s="29" t="s">
        <v>7</v>
      </c>
      <c r="C5" s="30">
        <v>1.3</v>
      </c>
      <c r="D5" s="36" t="s">
        <v>47</v>
      </c>
      <c r="E5" s="36" t="s">
        <v>48</v>
      </c>
      <c r="F5" s="35">
        <v>0.5</v>
      </c>
      <c r="G5" s="35">
        <v>100</v>
      </c>
      <c r="H5" s="35">
        <v>0.95</v>
      </c>
      <c r="I5" s="35">
        <v>0.1</v>
      </c>
      <c r="K5" s="37">
        <v>0.40804157236110516</v>
      </c>
      <c r="L5" s="37">
        <v>0.85369387178991474</v>
      </c>
      <c r="M5" s="37">
        <v>66.918597221064203</v>
      </c>
      <c r="N5" s="37">
        <v>33.081402778935797</v>
      </c>
      <c r="O5" s="37">
        <v>0.79365431804849318</v>
      </c>
      <c r="P5" s="37">
        <v>0.21610149511967125</v>
      </c>
      <c r="Q5" s="37">
        <v>-2392.1431762824595</v>
      </c>
      <c r="R5" s="37">
        <v>1529.6182257251608</v>
      </c>
      <c r="T5" s="38">
        <v>5</v>
      </c>
    </row>
    <row r="7" spans="2:28">
      <c r="D7" s="36" t="s">
        <v>1</v>
      </c>
      <c r="E7" s="36" t="s">
        <v>0</v>
      </c>
    </row>
    <row r="8" spans="2:28" ht="19.7" thickBot="1">
      <c r="B8" s="32" t="s">
        <v>4</v>
      </c>
      <c r="R8" s="32"/>
      <c r="Z8" s="30"/>
      <c r="AA8" s="29" t="s">
        <v>42</v>
      </c>
      <c r="AB8" s="39"/>
    </row>
    <row r="9" spans="2:28" ht="19.7" thickBot="1">
      <c r="B9" s="20" t="s">
        <v>2</v>
      </c>
      <c r="C9" s="21" t="s">
        <v>5</v>
      </c>
      <c r="D9" s="22" t="s">
        <v>6</v>
      </c>
      <c r="E9" s="23" t="s">
        <v>13</v>
      </c>
      <c r="R9" s="40" t="s">
        <v>14</v>
      </c>
      <c r="S9" s="40" t="s">
        <v>15</v>
      </c>
      <c r="T9" s="40" t="s">
        <v>16</v>
      </c>
      <c r="U9" s="40" t="s">
        <v>17</v>
      </c>
      <c r="V9" s="40" t="s">
        <v>18</v>
      </c>
      <c r="W9" s="40" t="s">
        <v>19</v>
      </c>
      <c r="X9" s="40" t="s">
        <v>20</v>
      </c>
      <c r="Y9" s="40" t="s">
        <v>21</v>
      </c>
      <c r="Z9" s="29" t="s">
        <v>5</v>
      </c>
      <c r="AA9" s="29" t="s">
        <v>43</v>
      </c>
      <c r="AB9" s="29" t="s">
        <v>44</v>
      </c>
    </row>
    <row r="10" spans="2:28">
      <c r="B10" s="18">
        <v>390.85</v>
      </c>
      <c r="C10" s="19">
        <v>0</v>
      </c>
      <c r="D10" s="19">
        <v>0</v>
      </c>
      <c r="E10" s="24">
        <f>C10</f>
        <v>0</v>
      </c>
      <c r="R10" s="36">
        <v>0.38000000000000006</v>
      </c>
      <c r="S10" s="36">
        <v>0.96154839425329519</v>
      </c>
      <c r="T10" s="36">
        <v>0</v>
      </c>
      <c r="U10" s="36">
        <v>0.78118479733183344</v>
      </c>
      <c r="V10" s="36">
        <v>0.1</v>
      </c>
      <c r="W10" s="36">
        <v>9.6906801220681647E-3</v>
      </c>
      <c r="Z10" s="36">
        <v>0.62969738711326584</v>
      </c>
      <c r="AA10" s="36">
        <v>0.95</v>
      </c>
      <c r="AB10" s="36">
        <v>68.846019620649514</v>
      </c>
    </row>
    <row r="11" spans="2:28">
      <c r="B11" s="18">
        <v>388.15</v>
      </c>
      <c r="C11" s="19">
        <v>0.01</v>
      </c>
      <c r="D11" s="19">
        <v>0.105</v>
      </c>
      <c r="E11" s="24">
        <f t="shared" ref="E11:E26" si="0">C11</f>
        <v>0.01</v>
      </c>
      <c r="R11" s="36">
        <v>0.40000000000000008</v>
      </c>
      <c r="S11" s="36">
        <v>0.88462366187774588</v>
      </c>
      <c r="T11" s="36">
        <v>0.02</v>
      </c>
      <c r="U11" s="36">
        <v>0.7847388015985316</v>
      </c>
      <c r="V11" s="36">
        <v>0.12000000000000001</v>
      </c>
      <c r="W11" s="36">
        <v>6.4488685806733004E-2</v>
      </c>
      <c r="X11" s="36">
        <v>0.95</v>
      </c>
      <c r="Y11" s="36">
        <v>0.95</v>
      </c>
      <c r="Z11" s="36">
        <v>0.44537011668254139</v>
      </c>
      <c r="AA11" s="36">
        <v>0.89308215735829755</v>
      </c>
      <c r="AB11" s="36">
        <v>78.188649302587081</v>
      </c>
    </row>
    <row r="12" spans="2:28">
      <c r="B12" s="18">
        <v>385.15</v>
      </c>
      <c r="C12" s="19">
        <v>2.5000000000000001E-2</v>
      </c>
      <c r="D12" s="19">
        <v>0.22500000000000001</v>
      </c>
      <c r="E12" s="24">
        <f t="shared" si="0"/>
        <v>2.5000000000000001E-2</v>
      </c>
      <c r="R12" s="36">
        <v>0.4200000000000001</v>
      </c>
      <c r="S12" s="36">
        <v>0.80769892950219657</v>
      </c>
      <c r="T12" s="36">
        <v>0.04</v>
      </c>
      <c r="U12" s="36">
        <v>0.78829280586522987</v>
      </c>
      <c r="V12" s="36">
        <v>0.14000000000000001</v>
      </c>
      <c r="W12" s="36">
        <v>0.11928669149139784</v>
      </c>
      <c r="X12" s="36">
        <v>0.62969738711326584</v>
      </c>
      <c r="Y12" s="36">
        <v>0.95</v>
      </c>
      <c r="Z12" s="36">
        <v>0.3801701978432302</v>
      </c>
      <c r="AA12" s="36">
        <v>0.8603271620793157</v>
      </c>
      <c r="AB12" s="36">
        <v>82.333789999827914</v>
      </c>
    </row>
    <row r="13" spans="2:28">
      <c r="B13" s="18">
        <v>380.25</v>
      </c>
      <c r="C13" s="19">
        <v>0.05</v>
      </c>
      <c r="D13" s="19">
        <v>0.40500000000000003</v>
      </c>
      <c r="E13" s="24">
        <f t="shared" si="0"/>
        <v>0.05</v>
      </c>
      <c r="R13" s="36">
        <v>0.44000000000000011</v>
      </c>
      <c r="S13" s="36">
        <v>0.73077419712664726</v>
      </c>
      <c r="T13" s="36">
        <v>0.06</v>
      </c>
      <c r="U13" s="36">
        <v>0.79184681013192815</v>
      </c>
      <c r="V13" s="36">
        <v>0.16</v>
      </c>
      <c r="W13" s="36">
        <v>0.17408469717606265</v>
      </c>
      <c r="X13" s="36">
        <v>0.62969738711326584</v>
      </c>
      <c r="Y13" s="36">
        <v>0.89308215735829755</v>
      </c>
      <c r="Z13" s="36">
        <v>0.22101292953431992</v>
      </c>
      <c r="AA13" s="36">
        <v>0.77732908482641805</v>
      </c>
      <c r="AB13" s="36">
        <v>98.418916584073756</v>
      </c>
    </row>
    <row r="14" spans="2:28">
      <c r="B14" s="18">
        <v>376.95</v>
      </c>
      <c r="C14" s="19">
        <v>7.0000000000000007E-2</v>
      </c>
      <c r="D14" s="19">
        <v>0.47199999999999998</v>
      </c>
      <c r="E14" s="24">
        <f t="shared" si="0"/>
        <v>7.0000000000000007E-2</v>
      </c>
      <c r="R14" s="36">
        <v>0.46000000000000013</v>
      </c>
      <c r="S14" s="36">
        <v>0.65384946475109795</v>
      </c>
      <c r="T14" s="36">
        <v>0.08</v>
      </c>
      <c r="U14" s="36">
        <v>0.79540081439862631</v>
      </c>
      <c r="V14" s="36">
        <v>0.18</v>
      </c>
      <c r="W14" s="36">
        <v>0.22888270286072745</v>
      </c>
      <c r="X14" s="36">
        <v>0.44537011668254139</v>
      </c>
      <c r="Y14" s="36">
        <v>0.89308215735829755</v>
      </c>
      <c r="Z14" s="36">
        <v>4.2968265773717165E-2</v>
      </c>
      <c r="AA14" s="36">
        <v>0.34125404014904853</v>
      </c>
      <c r="AB14" s="36">
        <v>132.82612902340202</v>
      </c>
    </row>
    <row r="15" spans="2:28">
      <c r="B15" s="18">
        <v>364.85</v>
      </c>
      <c r="C15" s="19">
        <v>0.154</v>
      </c>
      <c r="D15" s="19">
        <v>0.69799999999999995</v>
      </c>
      <c r="E15" s="24">
        <f t="shared" si="0"/>
        <v>0.154</v>
      </c>
      <c r="R15" s="36">
        <v>0.48000000000000015</v>
      </c>
      <c r="S15" s="36">
        <v>0.57692473237554864</v>
      </c>
      <c r="T15" s="36">
        <v>0.1</v>
      </c>
      <c r="U15" s="36">
        <v>0.79895481866532458</v>
      </c>
      <c r="V15" s="36">
        <v>0.19999999999999998</v>
      </c>
      <c r="W15" s="36">
        <v>0.28368070854539224</v>
      </c>
      <c r="X15" s="36">
        <v>0.44537011668254139</v>
      </c>
      <c r="Y15" s="36">
        <v>0.8603271620793157</v>
      </c>
    </row>
    <row r="16" spans="2:28">
      <c r="B16" s="18">
        <v>360.05</v>
      </c>
      <c r="C16" s="19">
        <v>0.19800000000000001</v>
      </c>
      <c r="D16" s="19">
        <v>0.75</v>
      </c>
      <c r="E16" s="24">
        <f t="shared" si="0"/>
        <v>0.19800000000000001</v>
      </c>
      <c r="R16" s="36">
        <v>0.50000000000000011</v>
      </c>
      <c r="S16" s="36">
        <v>0.49999999999999956</v>
      </c>
      <c r="T16" s="36">
        <v>0.12000000000000001</v>
      </c>
      <c r="U16" s="36">
        <v>0.80250882293202286</v>
      </c>
      <c r="V16" s="36">
        <v>0.21999999999999997</v>
      </c>
      <c r="W16" s="36">
        <v>0.33847871423005704</v>
      </c>
      <c r="X16" s="36">
        <v>0.3801701978432302</v>
      </c>
      <c r="Y16" s="36">
        <v>0.8603271620793157</v>
      </c>
    </row>
    <row r="17" spans="2:27">
      <c r="B17" s="18">
        <v>358.55</v>
      </c>
      <c r="C17" s="19">
        <v>0.215</v>
      </c>
      <c r="D17" s="19">
        <v>0.77300000000000002</v>
      </c>
      <c r="E17" s="24">
        <f t="shared" si="0"/>
        <v>0.215</v>
      </c>
      <c r="R17" s="36">
        <v>0.52000000000000013</v>
      </c>
      <c r="S17" s="36">
        <v>0.42307526762445025</v>
      </c>
      <c r="T17" s="36">
        <v>0.14000000000000001</v>
      </c>
      <c r="U17" s="36">
        <v>0.80606282719872113</v>
      </c>
      <c r="V17" s="36">
        <v>0.23999999999999996</v>
      </c>
      <c r="W17" s="36">
        <v>0.39327671991472185</v>
      </c>
      <c r="X17" s="36">
        <v>0.3801701978432302</v>
      </c>
      <c r="Y17" s="36">
        <v>0.77732908482641805</v>
      </c>
      <c r="AA17" s="41"/>
    </row>
    <row r="18" spans="2:27">
      <c r="B18" s="18">
        <v>354.85</v>
      </c>
      <c r="C18" s="19">
        <v>0.26500000000000001</v>
      </c>
      <c r="D18" s="19">
        <v>0.80900000000000005</v>
      </c>
      <c r="E18" s="24">
        <f t="shared" si="0"/>
        <v>0.26500000000000001</v>
      </c>
      <c r="R18" s="36">
        <v>0.54000000000000015</v>
      </c>
      <c r="S18" s="36">
        <v>0.34615053524890094</v>
      </c>
      <c r="T18" s="36">
        <v>0.16</v>
      </c>
      <c r="U18" s="36">
        <v>0.8096168314654193</v>
      </c>
      <c r="V18" s="36">
        <v>0.25999999999999995</v>
      </c>
      <c r="W18" s="36">
        <v>0.44807472559938666</v>
      </c>
      <c r="X18" s="36">
        <v>0.22101292953431992</v>
      </c>
      <c r="Y18" s="36">
        <v>0.77732908482641805</v>
      </c>
    </row>
    <row r="19" spans="2:27">
      <c r="B19" s="18">
        <v>351.95</v>
      </c>
      <c r="C19" s="19">
        <v>0.312</v>
      </c>
      <c r="D19" s="19">
        <v>0.83699999999999997</v>
      </c>
      <c r="E19" s="24">
        <f t="shared" si="0"/>
        <v>0.312</v>
      </c>
      <c r="R19" s="36">
        <v>0.56000000000000016</v>
      </c>
      <c r="S19" s="36">
        <v>0.26922580287335163</v>
      </c>
      <c r="T19" s="36">
        <v>0.18</v>
      </c>
      <c r="U19" s="36">
        <v>0.81317083573211757</v>
      </c>
      <c r="V19" s="36">
        <v>0.27999999999999997</v>
      </c>
      <c r="W19" s="36">
        <v>0.50287273128405152</v>
      </c>
      <c r="X19" s="36">
        <v>0.22101292953431992</v>
      </c>
      <c r="Y19" s="36">
        <v>0.34125404014904853</v>
      </c>
    </row>
    <row r="20" spans="2:27">
      <c r="B20" s="18">
        <v>341.75</v>
      </c>
      <c r="C20" s="19">
        <v>0.53500000000000003</v>
      </c>
      <c r="D20" s="19">
        <v>0.93</v>
      </c>
      <c r="E20" s="24">
        <f t="shared" si="0"/>
        <v>0.53500000000000003</v>
      </c>
      <c r="R20" s="36">
        <v>0.58000000000000018</v>
      </c>
      <c r="S20" s="36">
        <v>0.19230107049780235</v>
      </c>
      <c r="T20" s="36">
        <v>0.19999999999999998</v>
      </c>
      <c r="U20" s="36">
        <v>0.81672483999881584</v>
      </c>
      <c r="V20" s="36">
        <v>0.3</v>
      </c>
      <c r="W20" s="36">
        <v>0.55767073696871639</v>
      </c>
      <c r="X20" s="36">
        <v>4.2968265773717165E-2</v>
      </c>
      <c r="Y20" s="36">
        <v>0.34125404014904853</v>
      </c>
    </row>
    <row r="21" spans="2:27">
      <c r="B21" s="18">
        <v>339.35</v>
      </c>
      <c r="C21" s="19">
        <v>0.60699999999999998</v>
      </c>
      <c r="D21" s="19">
        <v>0.94299999999999995</v>
      </c>
      <c r="E21" s="24">
        <f t="shared" si="0"/>
        <v>0.60699999999999998</v>
      </c>
      <c r="R21" s="36">
        <v>0.6000000000000002</v>
      </c>
      <c r="S21" s="36">
        <v>0.11537633812225302</v>
      </c>
      <c r="T21" s="36">
        <v>0.21999999999999997</v>
      </c>
      <c r="U21" s="36">
        <v>0.82027884426551412</v>
      </c>
      <c r="V21" s="36">
        <v>0.32</v>
      </c>
      <c r="W21" s="36">
        <v>0.61246874265338125</v>
      </c>
    </row>
    <row r="22" spans="2:27">
      <c r="B22" s="18">
        <v>337.65</v>
      </c>
      <c r="C22" s="19">
        <v>0.65900000000000003</v>
      </c>
      <c r="D22" s="19">
        <v>0.95099999999999996</v>
      </c>
      <c r="E22" s="24">
        <f t="shared" si="0"/>
        <v>0.65900000000000003</v>
      </c>
      <c r="R22" s="36">
        <v>0.62000000000000022</v>
      </c>
      <c r="S22" s="36">
        <v>3.8451605746703713E-2</v>
      </c>
      <c r="T22" s="36">
        <v>0.23999999999999996</v>
      </c>
      <c r="U22" s="36">
        <v>0.82383284853221228</v>
      </c>
      <c r="V22" s="36">
        <v>0.34</v>
      </c>
      <c r="W22" s="36">
        <v>0.66726674833804611</v>
      </c>
    </row>
    <row r="23" spans="2:27">
      <c r="B23" s="18">
        <v>334.75</v>
      </c>
      <c r="C23" s="19">
        <v>0.76300000000000001</v>
      </c>
      <c r="D23" s="19">
        <v>0.97199999999999998</v>
      </c>
      <c r="E23" s="24">
        <f t="shared" si="0"/>
        <v>0.76300000000000001</v>
      </c>
      <c r="R23" s="36">
        <v>0.64000000000000024</v>
      </c>
      <c r="S23" s="36">
        <v>-3.8473126628845597E-2</v>
      </c>
      <c r="T23" s="36">
        <v>0.25999999999999995</v>
      </c>
      <c r="U23" s="36">
        <v>0.82738685279891055</v>
      </c>
      <c r="V23" s="36">
        <v>0.36000000000000004</v>
      </c>
      <c r="W23" s="36">
        <v>0.72206475402271098</v>
      </c>
    </row>
    <row r="24" spans="2:27">
      <c r="B24" s="18">
        <v>333.15</v>
      </c>
      <c r="C24" s="19">
        <v>0.81899999999999995</v>
      </c>
      <c r="D24" s="19">
        <v>0.97799999999999998</v>
      </c>
      <c r="E24" s="24">
        <f t="shared" si="0"/>
        <v>0.81899999999999995</v>
      </c>
      <c r="T24" s="36">
        <v>0.27999999999999997</v>
      </c>
      <c r="U24" s="36">
        <v>0.83094085706560883</v>
      </c>
      <c r="V24" s="36">
        <v>0.38000000000000006</v>
      </c>
      <c r="W24" s="36">
        <v>0.77686275970737595</v>
      </c>
    </row>
    <row r="25" spans="2:27">
      <c r="B25" s="18">
        <v>331.25</v>
      </c>
      <c r="C25" s="19">
        <v>0.89700000000000002</v>
      </c>
      <c r="D25" s="19">
        <v>0.98799999999999999</v>
      </c>
      <c r="E25" s="24">
        <f t="shared" si="0"/>
        <v>0.89700000000000002</v>
      </c>
      <c r="T25" s="36">
        <v>0.3</v>
      </c>
      <c r="U25" s="36">
        <v>0.83449486133230699</v>
      </c>
      <c r="V25" s="36">
        <v>0.40000000000000008</v>
      </c>
      <c r="W25" s="36">
        <v>0.83166076539204081</v>
      </c>
    </row>
    <row r="26" spans="2:27" ht="19.7" thickBot="1">
      <c r="B26" s="25">
        <v>329.15</v>
      </c>
      <c r="C26" s="26">
        <v>1</v>
      </c>
      <c r="D26" s="26">
        <v>1</v>
      </c>
      <c r="E26" s="27">
        <f t="shared" si="0"/>
        <v>1</v>
      </c>
      <c r="T26" s="36">
        <v>0.32</v>
      </c>
      <c r="U26" s="36">
        <v>0.83804886559900527</v>
      </c>
      <c r="V26" s="36">
        <v>0.4200000000000001</v>
      </c>
      <c r="W26" s="36">
        <v>0.88645877107670568</v>
      </c>
    </row>
    <row r="27" spans="2:27">
      <c r="B27" s="28"/>
      <c r="C27" s="28"/>
      <c r="D27" s="28"/>
      <c r="E27" s="28"/>
      <c r="T27" s="36">
        <v>0.34</v>
      </c>
      <c r="U27" s="36">
        <v>0.84160286986570354</v>
      </c>
      <c r="V27" s="36">
        <v>0.44000000000000011</v>
      </c>
      <c r="W27" s="36">
        <v>0.94125677676137054</v>
      </c>
    </row>
    <row r="28" spans="2:27">
      <c r="T28" s="36">
        <v>0.36000000000000004</v>
      </c>
      <c r="U28" s="36">
        <v>0.84515687413240181</v>
      </c>
      <c r="V28" s="36">
        <v>0.46000000000000013</v>
      </c>
      <c r="W28" s="36">
        <v>0.9960547824460354</v>
      </c>
    </row>
    <row r="29" spans="2:27">
      <c r="T29" s="36">
        <v>0.38000000000000006</v>
      </c>
      <c r="U29" s="36">
        <v>0.84871087839909998</v>
      </c>
      <c r="V29" s="36">
        <v>0.48000000000000015</v>
      </c>
      <c r="W29" s="36">
        <v>1.0508527881307004</v>
      </c>
    </row>
    <row r="30" spans="2:27">
      <c r="T30" s="36">
        <v>0.40000000000000008</v>
      </c>
      <c r="U30" s="36">
        <v>0.85226488266579825</v>
      </c>
      <c r="V30" s="36">
        <v>0.50000000000000011</v>
      </c>
      <c r="W30" s="36">
        <v>1.105650793815365</v>
      </c>
    </row>
    <row r="31" spans="2:27">
      <c r="T31" s="36">
        <v>0.4200000000000001</v>
      </c>
      <c r="U31" s="36">
        <v>0.85581888693249653</v>
      </c>
      <c r="V31" s="36">
        <v>0.52000000000000013</v>
      </c>
      <c r="W31" s="36">
        <v>1.1604487995000299</v>
      </c>
    </row>
    <row r="32" spans="2:27">
      <c r="T32" s="36">
        <v>0.44000000000000011</v>
      </c>
      <c r="U32" s="36">
        <v>0.8593728911991948</v>
      </c>
      <c r="V32" s="36">
        <v>0.54000000000000015</v>
      </c>
      <c r="W32" s="36">
        <v>1.2152468051846947</v>
      </c>
    </row>
    <row r="33" spans="9:23">
      <c r="T33" s="36">
        <v>0.46000000000000013</v>
      </c>
      <c r="U33" s="36">
        <v>0.86292689546589296</v>
      </c>
      <c r="V33" s="36">
        <v>0.56000000000000016</v>
      </c>
      <c r="W33" s="36">
        <v>1.2700448108693596</v>
      </c>
    </row>
    <row r="34" spans="9:23">
      <c r="T34" s="36">
        <v>0.48000000000000015</v>
      </c>
      <c r="U34" s="36">
        <v>0.86648089973259124</v>
      </c>
      <c r="V34" s="36">
        <v>0.58000000000000018</v>
      </c>
      <c r="W34" s="36">
        <v>1.3248428165540245</v>
      </c>
    </row>
    <row r="35" spans="9:23">
      <c r="T35" s="36">
        <v>0.50000000000000011</v>
      </c>
      <c r="U35" s="36">
        <v>0.87003490399928951</v>
      </c>
      <c r="V35" s="36">
        <v>0.6000000000000002</v>
      </c>
      <c r="W35" s="36">
        <v>1.3796408222386893</v>
      </c>
    </row>
    <row r="36" spans="9:23">
      <c r="T36" s="36">
        <v>0.52000000000000013</v>
      </c>
      <c r="U36" s="36">
        <v>0.87358890826598778</v>
      </c>
    </row>
    <row r="37" spans="9:23">
      <c r="T37" s="36">
        <v>0.54000000000000015</v>
      </c>
      <c r="U37" s="36">
        <v>0.87714291253268595</v>
      </c>
    </row>
    <row r="38" spans="9:23">
      <c r="T38" s="36">
        <v>0.56000000000000016</v>
      </c>
      <c r="U38" s="36">
        <v>0.88069691679938422</v>
      </c>
    </row>
    <row r="39" spans="9:23">
      <c r="T39" s="36">
        <v>0.58000000000000018</v>
      </c>
      <c r="U39" s="36">
        <v>0.8842509210660825</v>
      </c>
    </row>
    <row r="40" spans="9:23">
      <c r="T40" s="36">
        <v>0.6000000000000002</v>
      </c>
      <c r="U40" s="36">
        <v>0.88780492533278077</v>
      </c>
    </row>
    <row r="41" spans="9:23">
      <c r="T41" s="36">
        <v>0.62000000000000022</v>
      </c>
      <c r="U41" s="36">
        <v>0.89135892959947893</v>
      </c>
    </row>
    <row r="42" spans="9:23">
      <c r="T42" s="36">
        <v>0.64000000000000024</v>
      </c>
      <c r="U42" s="36">
        <v>0.89491293386617721</v>
      </c>
    </row>
    <row r="43" spans="9:23">
      <c r="I43" s="36">
        <f xml:space="preserve"> -114.7*0.5^3 + 241.29*0.5^2 - 188.23*0.5 + 389.61</f>
        <v>341.48</v>
      </c>
      <c r="J43" s="36" t="s">
        <v>36</v>
      </c>
      <c r="M43" s="36">
        <v>390</v>
      </c>
      <c r="T43" s="36">
        <v>0.66000000000000025</v>
      </c>
      <c r="U43" s="36">
        <v>0.89846693813287548</v>
      </c>
    </row>
    <row r="44" spans="9:23">
      <c r="I44" s="42">
        <f>-73.277*0.5^3 + 46.564*0.5^2 - 34.386*0.5 + 391.1</f>
        <v>376.388375</v>
      </c>
      <c r="J44" s="36" t="s">
        <v>37</v>
      </c>
      <c r="M44" s="36">
        <v>320</v>
      </c>
      <c r="T44" s="36">
        <v>0.68000000000000027</v>
      </c>
      <c r="U44" s="36">
        <v>0.90202094239957376</v>
      </c>
    </row>
    <row r="45" spans="9:23">
      <c r="T45" s="36">
        <v>0.70000000000000029</v>
      </c>
      <c r="U45" s="36">
        <v>0.90557494666627192</v>
      </c>
    </row>
    <row r="46" spans="9:23">
      <c r="T46" s="36">
        <v>0.72000000000000031</v>
      </c>
      <c r="U46" s="36">
        <v>0.90912895093297019</v>
      </c>
    </row>
    <row r="47" spans="9:23">
      <c r="T47" s="36">
        <v>0.74000000000000032</v>
      </c>
      <c r="U47" s="36">
        <v>0.91268295519966847</v>
      </c>
    </row>
    <row r="48" spans="9:23">
      <c r="T48" s="36">
        <v>0.76000000000000034</v>
      </c>
      <c r="U48" s="36">
        <v>0.91623695946636674</v>
      </c>
    </row>
    <row r="49" spans="20:21">
      <c r="T49" s="36">
        <v>0.78000000000000036</v>
      </c>
      <c r="U49" s="36">
        <v>0.9197909637330649</v>
      </c>
    </row>
    <row r="50" spans="20:21">
      <c r="T50" s="36">
        <v>0.80000000000000038</v>
      </c>
      <c r="U50" s="36">
        <v>0.92334496799976318</v>
      </c>
    </row>
    <row r="51" spans="20:21">
      <c r="T51" s="36">
        <v>0.8200000000000004</v>
      </c>
      <c r="U51" s="36">
        <v>0.92689897226646145</v>
      </c>
    </row>
    <row r="52" spans="20:21">
      <c r="T52" s="36">
        <v>0.84000000000000041</v>
      </c>
      <c r="U52" s="36">
        <v>0.93045297653315973</v>
      </c>
    </row>
    <row r="53" spans="20:21">
      <c r="T53" s="36">
        <v>0.86000000000000043</v>
      </c>
      <c r="U53" s="36">
        <v>0.93400698079985789</v>
      </c>
    </row>
    <row r="54" spans="20:21">
      <c r="T54" s="36">
        <v>0.88000000000000045</v>
      </c>
      <c r="U54" s="36">
        <v>0.93756098506655616</v>
      </c>
    </row>
    <row r="55" spans="20:21">
      <c r="T55" s="36">
        <v>0.90000000000000047</v>
      </c>
      <c r="U55" s="36">
        <v>0.94111498933325444</v>
      </c>
    </row>
    <row r="56" spans="20:21">
      <c r="T56" s="36">
        <v>0.92000000000000048</v>
      </c>
      <c r="U56" s="36">
        <v>0.94466899359995271</v>
      </c>
    </row>
    <row r="57" spans="20:21">
      <c r="T57" s="36">
        <v>0.9400000000000005</v>
      </c>
      <c r="U57" s="36">
        <v>0.94822299786665099</v>
      </c>
    </row>
    <row r="58" spans="20:21">
      <c r="T58" s="36">
        <v>0.96000000000000052</v>
      </c>
      <c r="U58" s="36">
        <v>0.95177700213334915</v>
      </c>
    </row>
    <row r="59" spans="20:21">
      <c r="T59" s="36">
        <v>0.98000000000000054</v>
      </c>
      <c r="U59" s="36">
        <v>0.95533100640004742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mmandButton1_Click">
                <anchor moveWithCells="1" sizeWithCells="1">
                  <from>
                    <xdr:col>5</xdr:col>
                    <xdr:colOff>258233</xdr:colOff>
                    <xdr:row>12</xdr:row>
                    <xdr:rowOff>105833</xdr:rowOff>
                  </from>
                  <to>
                    <xdr:col>7</xdr:col>
                    <xdr:colOff>1515533</xdr:colOff>
                    <xdr:row>20</xdr:row>
                    <xdr:rowOff>122767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O451"/>
  <sheetViews>
    <sheetView zoomScale="40" zoomScaleNormal="40" workbookViewId="0">
      <selection activeCell="M45" sqref="M45"/>
    </sheetView>
  </sheetViews>
  <sheetFormatPr defaultRowHeight="14.35"/>
  <cols>
    <col min="2" max="2" width="13.703125" customWidth="1"/>
    <col min="3" max="3" width="30.29296875" customWidth="1"/>
    <col min="4" max="4" width="13.5859375" customWidth="1"/>
    <col min="5" max="5" width="18.1171875" customWidth="1"/>
    <col min="6" max="6" width="14.29296875" customWidth="1"/>
    <col min="8" max="8" width="30.703125" customWidth="1"/>
    <col min="9" max="9" width="16.1171875" customWidth="1"/>
    <col min="11" max="11" width="9" customWidth="1"/>
    <col min="12" max="12" width="15.87890625" customWidth="1"/>
    <col min="13" max="13" width="39.703125" customWidth="1"/>
    <col min="14" max="14" width="25.41015625" customWidth="1"/>
  </cols>
  <sheetData>
    <row r="1" spans="2:15" ht="14.7" thickBot="1">
      <c r="D1" s="9"/>
    </row>
    <row r="2" spans="2:15" ht="14.7" thickBot="1">
      <c r="C2" s="10" t="s">
        <v>41</v>
      </c>
      <c r="D2" s="16">
        <v>20</v>
      </c>
      <c r="H2" s="11" t="s">
        <v>40</v>
      </c>
      <c r="I2" s="14">
        <v>10</v>
      </c>
      <c r="M2" s="10" t="s">
        <v>38</v>
      </c>
      <c r="N2" s="15">
        <v>100</v>
      </c>
    </row>
    <row r="3" spans="2:15" ht="14.7" thickBot="1">
      <c r="C3" s="10" t="s">
        <v>34</v>
      </c>
      <c r="D3" s="15">
        <v>20</v>
      </c>
      <c r="F3" s="8"/>
      <c r="G3" s="8"/>
      <c r="H3" s="11" t="s">
        <v>30</v>
      </c>
      <c r="I3" s="15">
        <v>350</v>
      </c>
      <c r="J3" s="8" t="s">
        <v>32</v>
      </c>
      <c r="K3" s="8"/>
      <c r="L3" s="8"/>
      <c r="M3" s="12" t="s">
        <v>31</v>
      </c>
      <c r="N3" s="17">
        <v>1.6</v>
      </c>
      <c r="O3" t="s">
        <v>33</v>
      </c>
    </row>
    <row r="4" spans="2:15">
      <c r="C4" s="1"/>
      <c r="D4" s="2"/>
      <c r="H4" s="1"/>
      <c r="I4" s="2"/>
      <c r="M4" s="1"/>
      <c r="N4" s="2"/>
    </row>
    <row r="5" spans="2:15">
      <c r="C5" s="3"/>
      <c r="D5" s="4"/>
      <c r="H5" s="3"/>
      <c r="I5" s="4"/>
      <c r="M5" s="3"/>
      <c r="N5" s="4"/>
    </row>
    <row r="6" spans="2:15">
      <c r="C6" s="3"/>
      <c r="D6" s="4"/>
      <c r="H6" s="7"/>
      <c r="I6" s="4"/>
      <c r="M6" s="3"/>
      <c r="N6" s="4"/>
    </row>
    <row r="7" spans="2:15" ht="14.7" thickBot="1">
      <c r="C7" s="5"/>
      <c r="D7" s="6"/>
      <c r="H7" s="5"/>
      <c r="I7" s="6"/>
      <c r="M7" s="5"/>
      <c r="N7" s="6"/>
    </row>
    <row r="9" spans="2:15"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2:15">
      <c r="B10" t="s">
        <v>124</v>
      </c>
      <c r="C10" t="s">
        <v>125</v>
      </c>
      <c r="D10" t="s">
        <v>22</v>
      </c>
      <c r="E10" t="s">
        <v>23</v>
      </c>
      <c r="F10" t="s">
        <v>126</v>
      </c>
      <c r="G10" t="s">
        <v>127</v>
      </c>
      <c r="H10" t="s">
        <v>128</v>
      </c>
      <c r="I10" t="s">
        <v>129</v>
      </c>
      <c r="J10" t="s">
        <v>130</v>
      </c>
      <c r="K10" t="s">
        <v>131</v>
      </c>
      <c r="L10" t="s">
        <v>132</v>
      </c>
    </row>
    <row r="11" spans="2:15">
      <c r="B11">
        <v>341.48</v>
      </c>
      <c r="C11">
        <v>1.2</v>
      </c>
      <c r="D11">
        <v>0.51551141480916285</v>
      </c>
      <c r="E11">
        <v>0.91852613207968292</v>
      </c>
      <c r="F11">
        <v>100</v>
      </c>
      <c r="G11">
        <v>0</v>
      </c>
      <c r="H11">
        <v>1.0384884574792115</v>
      </c>
      <c r="I11">
        <v>7.8096075829385839E-2</v>
      </c>
      <c r="J11">
        <v>-2120.6783985726274</v>
      </c>
      <c r="K11">
        <v>2281.5601508357313</v>
      </c>
      <c r="L11">
        <v>6</v>
      </c>
    </row>
    <row r="12" spans="2:15">
      <c r="B12">
        <v>343.25</v>
      </c>
      <c r="C12">
        <v>1.2</v>
      </c>
      <c r="D12">
        <v>0.48424831102635324</v>
      </c>
      <c r="E12">
        <v>0.90377226053620474</v>
      </c>
      <c r="F12">
        <v>89.427243824531431</v>
      </c>
      <c r="G12">
        <v>10.572756175468569</v>
      </c>
      <c r="H12">
        <v>0.96245342133136813</v>
      </c>
      <c r="I12">
        <v>0.11019094265727904</v>
      </c>
      <c r="J12">
        <v>-2183.810889556436</v>
      </c>
      <c r="K12">
        <v>2026.8661907215551</v>
      </c>
      <c r="L12">
        <v>6</v>
      </c>
    </row>
    <row r="13" spans="2:15">
      <c r="B13">
        <v>345.02</v>
      </c>
      <c r="C13">
        <v>1.2</v>
      </c>
      <c r="D13">
        <v>0.45942720911661966</v>
      </c>
      <c r="E13">
        <v>0.89055195742167337</v>
      </c>
      <c r="F13">
        <v>81.713971208586088</v>
      </c>
      <c r="G13">
        <v>18.286028791413912</v>
      </c>
      <c r="H13">
        <v>0.90589083312222207</v>
      </c>
      <c r="I13">
        <v>0.13789058227820061</v>
      </c>
      <c r="J13">
        <v>-2238.2977100813546</v>
      </c>
      <c r="K13">
        <v>1844.9213925322431</v>
      </c>
      <c r="L13">
        <v>6</v>
      </c>
    </row>
    <row r="14" spans="2:15">
      <c r="B14">
        <v>346.78999999999996</v>
      </c>
      <c r="C14">
        <v>1.2</v>
      </c>
      <c r="D14">
        <v>0.43856286987062848</v>
      </c>
      <c r="E14">
        <v>0.87867182671850041</v>
      </c>
      <c r="F14">
        <v>75.630504965990738</v>
      </c>
      <c r="G14">
        <v>24.369495034009262</v>
      </c>
      <c r="H14">
        <v>0.86040472666270262</v>
      </c>
      <c r="I14">
        <v>0.16206935162684</v>
      </c>
      <c r="J14">
        <v>-2285.8587716706784</v>
      </c>
      <c r="K14">
        <v>1702.3505291207753</v>
      </c>
      <c r="L14">
        <v>6</v>
      </c>
    </row>
    <row r="15" spans="2:15">
      <c r="B15">
        <v>348.55999999999995</v>
      </c>
      <c r="C15">
        <v>1.2</v>
      </c>
      <c r="D15">
        <v>0.42021042456860175</v>
      </c>
      <c r="E15">
        <v>0.86783781104226176</v>
      </c>
      <c r="F15">
        <v>70.553912256238732</v>
      </c>
      <c r="G15">
        <v>29.446087743761268</v>
      </c>
      <c r="H15">
        <v>0.82175001386763147</v>
      </c>
      <c r="I15">
        <v>0.18355040696906269</v>
      </c>
      <c r="J15">
        <v>-2328.1132711203213</v>
      </c>
      <c r="K15">
        <v>1583.0283290870207</v>
      </c>
      <c r="L15">
        <v>6</v>
      </c>
    </row>
    <row r="16" spans="2:15">
      <c r="B16">
        <v>350.32999999999993</v>
      </c>
      <c r="C16">
        <v>1.2</v>
      </c>
      <c r="D16">
        <v>0.40347441902695202</v>
      </c>
      <c r="E16">
        <v>0.85779009161480801</v>
      </c>
      <c r="F16">
        <v>66.132873808015972</v>
      </c>
      <c r="G16">
        <v>33.867126191984028</v>
      </c>
      <c r="H16">
        <v>0.78753631715317551</v>
      </c>
      <c r="I16">
        <v>0.20296440107370572</v>
      </c>
      <c r="J16">
        <v>-2366.3017395238071</v>
      </c>
      <c r="K16">
        <v>1478.2035452240809</v>
      </c>
      <c r="L16">
        <v>5</v>
      </c>
    </row>
    <row r="17" spans="2:12">
      <c r="B17">
        <v>352.09999999999991</v>
      </c>
      <c r="C17">
        <v>1.2</v>
      </c>
      <c r="D17">
        <v>0.38775639054286448</v>
      </c>
      <c r="E17">
        <v>0.84831731637151786</v>
      </c>
      <c r="F17">
        <v>62.150411207631038</v>
      </c>
      <c r="G17">
        <v>37.849588792368962</v>
      </c>
      <c r="H17">
        <v>0.75628933510765406</v>
      </c>
      <c r="I17">
        <v>0.22078009211383268</v>
      </c>
      <c r="J17">
        <v>-2401.3462517815628</v>
      </c>
      <c r="K17">
        <v>1382.6356725315568</v>
      </c>
      <c r="L17">
        <v>5</v>
      </c>
    </row>
    <row r="18" spans="2:12">
      <c r="B18">
        <v>353.86999999999989</v>
      </c>
      <c r="C18">
        <v>1.2</v>
      </c>
      <c r="D18">
        <v>0.37262404679160582</v>
      </c>
      <c r="E18">
        <v>0.83924564977506688</v>
      </c>
      <c r="F18">
        <v>58.461547270721063</v>
      </c>
      <c r="G18">
        <v>41.538452729278937</v>
      </c>
      <c r="H18">
        <v>0.72702516901492686</v>
      </c>
      <c r="I18">
        <v>0.23735367054760792</v>
      </c>
      <c r="J18">
        <v>-2433.9474554771773</v>
      </c>
      <c r="K18">
        <v>1292.9126619595713</v>
      </c>
      <c r="L18">
        <v>5</v>
      </c>
    </row>
    <row r="19" spans="2:12">
      <c r="B19">
        <v>355.63999999999987</v>
      </c>
      <c r="C19">
        <v>1.2</v>
      </c>
      <c r="D19">
        <v>0.35773928538092525</v>
      </c>
      <c r="E19">
        <v>0.83042359633749219</v>
      </c>
      <c r="F19">
        <v>54.961955955501061</v>
      </c>
      <c r="G19">
        <v>45.038044044498939</v>
      </c>
      <c r="H19">
        <v>0.69903652115894643</v>
      </c>
      <c r="I19">
        <v>0.25297307503293698</v>
      </c>
      <c r="J19">
        <v>-2464.6717428883185</v>
      </c>
      <c r="K19">
        <v>1206.6444013327146</v>
      </c>
      <c r="L19">
        <v>5</v>
      </c>
    </row>
    <row r="20" spans="2:12">
      <c r="B20">
        <v>357.40999999999985</v>
      </c>
      <c r="C20">
        <v>1.2</v>
      </c>
      <c r="D20">
        <v>0.34281671430076266</v>
      </c>
      <c r="E20">
        <v>0.8217061096375865</v>
      </c>
      <c r="F20">
        <v>51.570749368101026</v>
      </c>
      <c r="G20">
        <v>48.429250631898974</v>
      </c>
      <c r="H20">
        <v>0.67177538857655539</v>
      </c>
      <c r="I20">
        <v>0.26789879168691721</v>
      </c>
      <c r="J20">
        <v>-2494.0315055300302</v>
      </c>
      <c r="K20">
        <v>1122.0526297800318</v>
      </c>
      <c r="L20">
        <v>5</v>
      </c>
    </row>
    <row r="21" spans="2:12">
      <c r="B21">
        <v>359.17999999999984</v>
      </c>
      <c r="C21">
        <v>1.2</v>
      </c>
      <c r="D21">
        <v>0.32759980540185552</v>
      </c>
      <c r="E21">
        <v>0.8129360538436502</v>
      </c>
      <c r="F21">
        <v>48.220026625437633</v>
      </c>
      <c r="G21">
        <v>51.779973374562367</v>
      </c>
      <c r="H21">
        <v>0.64478195240588942</v>
      </c>
      <c r="I21">
        <v>0.28241028070003615</v>
      </c>
      <c r="J21">
        <v>-2522.5764580358359</v>
      </c>
      <c r="K21">
        <v>1037.7650190924537</v>
      </c>
      <c r="L21">
        <v>6</v>
      </c>
    </row>
    <row r="22" spans="2:12">
      <c r="B22">
        <v>360.94999999999982</v>
      </c>
      <c r="C22">
        <v>1.2</v>
      </c>
      <c r="D22">
        <v>0.31185115933358781</v>
      </c>
      <c r="E22">
        <v>0.80391891968374241</v>
      </c>
      <c r="F22">
        <v>44.847780631536459</v>
      </c>
      <c r="G22">
        <v>55.152219368463541</v>
      </c>
      <c r="H22">
        <v>0.61763631794831308</v>
      </c>
      <c r="I22">
        <v>0.29687187840208523</v>
      </c>
      <c r="J22">
        <v>-2551.0232713979844</v>
      </c>
      <c r="K22">
        <v>952.74308042193286</v>
      </c>
      <c r="L22">
        <v>6</v>
      </c>
    </row>
    <row r="23" spans="2:12">
      <c r="B23">
        <v>362.7199999999998</v>
      </c>
      <c r="C23">
        <v>1.2</v>
      </c>
      <c r="D23">
        <v>0.29536070240955481</v>
      </c>
      <c r="E23">
        <v>0.79438457902247395</v>
      </c>
      <c r="F23">
        <v>41.392356534864177</v>
      </c>
      <c r="G23">
        <v>58.607643465135823</v>
      </c>
      <c r="H23">
        <v>0.58992082908053112</v>
      </c>
      <c r="I23">
        <v>0.31183962986651476</v>
      </c>
      <c r="J23">
        <v>-2580.4657189844856</v>
      </c>
      <c r="K23">
        <v>866.33478454110571</v>
      </c>
      <c r="L23">
        <v>6</v>
      </c>
    </row>
    <row r="24" spans="2:12">
      <c r="B24">
        <v>364.48999999999978</v>
      </c>
      <c r="C24">
        <v>1.2</v>
      </c>
      <c r="D24">
        <v>0.2779830505174391</v>
      </c>
      <c r="E24">
        <v>0.78392895718385014</v>
      </c>
      <c r="F24">
        <v>37.787208981589885</v>
      </c>
      <c r="G24">
        <v>62.212791018410115</v>
      </c>
      <c r="H24">
        <v>0.5611844140702873</v>
      </c>
      <c r="I24">
        <v>0.32823873190389641</v>
      </c>
      <c r="J24">
        <v>-2612.7237173450762</v>
      </c>
      <c r="K24">
        <v>778.47456815887745</v>
      </c>
      <c r="L24">
        <v>6</v>
      </c>
    </row>
    <row r="25" spans="2:12">
      <c r="B25">
        <v>366.25999999999976</v>
      </c>
      <c r="C25">
        <v>1.2</v>
      </c>
      <c r="D25">
        <v>0.25972025396394971</v>
      </c>
      <c r="E25">
        <v>0.77193688746770783</v>
      </c>
      <c r="F25">
        <v>33.954950785234679</v>
      </c>
      <c r="G25">
        <v>66.045049214765328</v>
      </c>
      <c r="H25">
        <v>0.53090210211947875</v>
      </c>
      <c r="I25">
        <v>0.34763242910381925</v>
      </c>
      <c r="J25">
        <v>-2650.8722605430421</v>
      </c>
      <c r="K25">
        <v>690.04304740246346</v>
      </c>
      <c r="L25">
        <v>5</v>
      </c>
    </row>
    <row r="26" spans="2:12">
      <c r="B26">
        <v>368.02999999999975</v>
      </c>
      <c r="C26">
        <v>1.2</v>
      </c>
      <c r="D26">
        <v>0.24084743544570514</v>
      </c>
      <c r="E26">
        <v>0.75752117813912356</v>
      </c>
      <c r="F26">
        <v>29.79944882120985</v>
      </c>
      <c r="G26">
        <v>70.20055117879015</v>
      </c>
      <c r="H26">
        <v>0.49842126057474206</v>
      </c>
      <c r="I26">
        <v>0.37253455315434653</v>
      </c>
      <c r="J26">
        <v>-2699.8562033812559</v>
      </c>
      <c r="K26">
        <v>603.25707258367788</v>
      </c>
      <c r="L26">
        <v>5</v>
      </c>
    </row>
    <row r="27" spans="2:12">
      <c r="B27">
        <v>369.79999999999973</v>
      </c>
      <c r="C27">
        <v>1.2</v>
      </c>
      <c r="D27">
        <v>0.22200564763757996</v>
      </c>
      <c r="E27">
        <v>0.7395738366570741</v>
      </c>
      <c r="F27">
        <v>25.194378710646351</v>
      </c>
      <c r="G27">
        <v>74.805621289353653</v>
      </c>
      <c r="H27">
        <v>0.46288361947231371</v>
      </c>
      <c r="I27">
        <v>0.40656703369186437</v>
      </c>
      <c r="J27">
        <v>-2766.8000945091735</v>
      </c>
      <c r="K27">
        <v>521.65362390344467</v>
      </c>
      <c r="L27">
        <v>5</v>
      </c>
    </row>
    <row r="28" spans="2:12">
      <c r="B28">
        <v>371.56999999999971</v>
      </c>
      <c r="C28">
        <v>1.2</v>
      </c>
      <c r="D28">
        <v>0.20410218049480988</v>
      </c>
      <c r="E28">
        <v>0.71701002432885252</v>
      </c>
      <c r="F28">
        <v>19.964431632665146</v>
      </c>
      <c r="G28">
        <v>80.035568367334861</v>
      </c>
      <c r="H28">
        <v>0.42309749585164991</v>
      </c>
      <c r="I28">
        <v>0.45425309531147284</v>
      </c>
      <c r="J28">
        <v>-2860.6013827773913</v>
      </c>
      <c r="K28">
        <v>449.148915437288</v>
      </c>
      <c r="L28">
        <v>5</v>
      </c>
    </row>
    <row r="29" spans="2:12">
      <c r="B29">
        <v>373.33999999999969</v>
      </c>
      <c r="C29">
        <v>1.2</v>
      </c>
      <c r="D29">
        <v>0.18798732071604157</v>
      </c>
      <c r="E29">
        <v>0.68907121676869487</v>
      </c>
      <c r="F29">
        <v>13.853983946461856</v>
      </c>
      <c r="G29">
        <v>86.146016053538148</v>
      </c>
      <c r="H29">
        <v>0.37732447252471168</v>
      </c>
      <c r="I29">
        <v>0.52072873482225623</v>
      </c>
      <c r="J29">
        <v>-2991.3628760268384</v>
      </c>
      <c r="K29">
        <v>388.57917118013324</v>
      </c>
      <c r="L29">
        <v>5</v>
      </c>
    </row>
    <row r="30" spans="2:12">
      <c r="B30">
        <v>375.10999999999967</v>
      </c>
      <c r="C30">
        <v>1.2</v>
      </c>
      <c r="D30">
        <v>0.17416524745657935</v>
      </c>
      <c r="E30">
        <v>0.65538091352280414</v>
      </c>
      <c r="F30">
        <v>6.4702315254729461</v>
      </c>
      <c r="G30">
        <v>93.52976847452706</v>
      </c>
      <c r="H30">
        <v>0.32289246689117701</v>
      </c>
      <c r="I30">
        <v>0.61223918349460049</v>
      </c>
      <c r="J30">
        <v>-3171.3693115329083</v>
      </c>
      <c r="K30">
        <v>341.05982313802832</v>
      </c>
      <c r="L30">
        <v>4</v>
      </c>
    </row>
    <row r="31" spans="2:12">
      <c r="B31">
        <v>376.87999999999965</v>
      </c>
      <c r="C31">
        <v>1.2</v>
      </c>
      <c r="D31">
        <v>0.16277384299130362</v>
      </c>
      <c r="E31">
        <v>0.61570454127726193</v>
      </c>
      <c r="F31">
        <v>-2.8253287036716666</v>
      </c>
      <c r="G31">
        <v>102.82532870367167</v>
      </c>
      <c r="H31">
        <v>0.25545749430349218</v>
      </c>
      <c r="I31">
        <v>0.73807198317054723</v>
      </c>
      <c r="J31">
        <v>-3418.8898304248883</v>
      </c>
      <c r="K31">
        <v>306.70215661348573</v>
      </c>
      <c r="L31">
        <v>4</v>
      </c>
    </row>
    <row r="32" spans="2:12">
      <c r="B32">
        <v>341.48</v>
      </c>
      <c r="C32">
        <v>1.2149999999999999</v>
      </c>
      <c r="D32">
        <v>0.51549786542667708</v>
      </c>
      <c r="E32">
        <v>0.91816054514170298</v>
      </c>
      <c r="F32">
        <v>100</v>
      </c>
      <c r="G32">
        <v>0</v>
      </c>
      <c r="H32">
        <v>1.0384884574792115</v>
      </c>
      <c r="I32">
        <v>7.9072276777253148E-2</v>
      </c>
      <c r="J32">
        <v>-2122.5986432606674</v>
      </c>
      <c r="K32">
        <v>2283.4803955237717</v>
      </c>
      <c r="L32">
        <v>6</v>
      </c>
    </row>
    <row r="33" spans="2:12">
      <c r="B33">
        <v>343.25</v>
      </c>
      <c r="C33">
        <v>1.2149999999999999</v>
      </c>
      <c r="D33">
        <v>0.48426851189117748</v>
      </c>
      <c r="E33">
        <v>0.90325443994766252</v>
      </c>
      <c r="F33">
        <v>89.427243824531431</v>
      </c>
      <c r="G33">
        <v>10.572756175468569</v>
      </c>
      <c r="H33">
        <v>0.96245342133136813</v>
      </c>
      <c r="I33">
        <v>0.11156832944049501</v>
      </c>
      <c r="J33">
        <v>-2186.520290381774</v>
      </c>
      <c r="K33">
        <v>2029.5755915468926</v>
      </c>
      <c r="L33">
        <v>6</v>
      </c>
    </row>
    <row r="34" spans="2:12">
      <c r="B34">
        <v>345.02</v>
      </c>
      <c r="C34">
        <v>1.2149999999999999</v>
      </c>
      <c r="D34">
        <v>0.45949409791084389</v>
      </c>
      <c r="E34">
        <v>0.88990808873664984</v>
      </c>
      <c r="F34">
        <v>81.713971208586088</v>
      </c>
      <c r="G34">
        <v>18.286028791413912</v>
      </c>
      <c r="H34">
        <v>0.90589083312222207</v>
      </c>
      <c r="I34">
        <v>0.13961421455667811</v>
      </c>
      <c r="J34">
        <v>-2241.6881961632539</v>
      </c>
      <c r="K34">
        <v>1848.3118786141422</v>
      </c>
      <c r="L34">
        <v>6</v>
      </c>
    </row>
    <row r="35" spans="2:12">
      <c r="B35">
        <v>346.78999999999996</v>
      </c>
      <c r="C35">
        <v>1.2149999999999999</v>
      </c>
      <c r="D35">
        <v>0.43868435689330576</v>
      </c>
      <c r="E35">
        <v>0.87792303339591338</v>
      </c>
      <c r="F35">
        <v>75.630504965990738</v>
      </c>
      <c r="G35">
        <v>24.369495034009262</v>
      </c>
      <c r="H35">
        <v>0.86040472666270262</v>
      </c>
      <c r="I35">
        <v>0.16409521852217548</v>
      </c>
      <c r="J35">
        <v>-2289.8437710224443</v>
      </c>
      <c r="K35">
        <v>1706.335528472541</v>
      </c>
      <c r="L35">
        <v>6</v>
      </c>
    </row>
    <row r="36" spans="2:12">
      <c r="B36">
        <v>348.55999999999995</v>
      </c>
      <c r="C36">
        <v>1.2149999999999999</v>
      </c>
      <c r="D36">
        <v>0.42039211229948442</v>
      </c>
      <c r="E36">
        <v>0.86700021268608829</v>
      </c>
      <c r="F36">
        <v>70.553912256238732</v>
      </c>
      <c r="G36">
        <v>29.446087743761268</v>
      </c>
      <c r="H36">
        <v>0.82175001386763147</v>
      </c>
      <c r="I36">
        <v>0.18584478705617594</v>
      </c>
      <c r="J36">
        <v>-2332.6264517152076</v>
      </c>
      <c r="K36">
        <v>1587.541509681907</v>
      </c>
      <c r="L36">
        <v>5</v>
      </c>
    </row>
    <row r="37" spans="2:12">
      <c r="B37">
        <v>350.32999999999993</v>
      </c>
      <c r="C37">
        <v>1.2149999999999999</v>
      </c>
      <c r="D37">
        <v>0.40372102667444565</v>
      </c>
      <c r="E37">
        <v>0.85687599431645256</v>
      </c>
      <c r="F37">
        <v>66.132873808015972</v>
      </c>
      <c r="G37">
        <v>33.867126191984028</v>
      </c>
      <c r="H37">
        <v>0.78753631715317551</v>
      </c>
      <c r="I37">
        <v>0.20550145608712703</v>
      </c>
      <c r="J37">
        <v>-2371.2922759737371</v>
      </c>
      <c r="K37">
        <v>1483.1940816740107</v>
      </c>
      <c r="L37">
        <v>5</v>
      </c>
    </row>
    <row r="38" spans="2:12">
      <c r="B38">
        <v>352.09999999999991</v>
      </c>
      <c r="C38">
        <v>1.2149999999999999</v>
      </c>
      <c r="D38">
        <v>0.38807253180225582</v>
      </c>
      <c r="E38">
        <v>0.84733625851354188</v>
      </c>
      <c r="F38">
        <v>62.150411207631038</v>
      </c>
      <c r="G38">
        <v>37.849588792368962</v>
      </c>
      <c r="H38">
        <v>0.75628933510765406</v>
      </c>
      <c r="I38">
        <v>0.22353984326525558</v>
      </c>
      <c r="J38">
        <v>-2406.7748446347146</v>
      </c>
      <c r="K38">
        <v>1388.0642653847087</v>
      </c>
      <c r="L38">
        <v>5</v>
      </c>
    </row>
    <row r="39" spans="2:12">
      <c r="B39">
        <v>353.86999999999989</v>
      </c>
      <c r="C39">
        <v>1.2149999999999999</v>
      </c>
      <c r="D39">
        <v>0.37301471824629362</v>
      </c>
      <c r="E39">
        <v>0.83820515831529097</v>
      </c>
      <c r="F39">
        <v>58.461547270721063</v>
      </c>
      <c r="G39">
        <v>41.538452729278937</v>
      </c>
      <c r="H39">
        <v>0.72702516901492686</v>
      </c>
      <c r="I39">
        <v>0.240320591429453</v>
      </c>
      <c r="J39">
        <v>-2439.7835633765244</v>
      </c>
      <c r="K39">
        <v>1298.7487698589184</v>
      </c>
      <c r="L39">
        <v>5</v>
      </c>
    </row>
    <row r="40" spans="2:12">
      <c r="B40">
        <v>355.63999999999987</v>
      </c>
      <c r="C40">
        <v>1.2149999999999999</v>
      </c>
      <c r="D40">
        <v>0.35821024950427205</v>
      </c>
      <c r="E40">
        <v>0.82932970573108789</v>
      </c>
      <c r="F40">
        <v>54.961955955501061</v>
      </c>
      <c r="G40">
        <v>45.038044044498939</v>
      </c>
      <c r="H40">
        <v>0.69903652115894643</v>
      </c>
      <c r="I40">
        <v>0.25613523847084868</v>
      </c>
      <c r="J40">
        <v>-2470.8919043803048</v>
      </c>
      <c r="K40">
        <v>1212.8645628247009</v>
      </c>
      <c r="L40">
        <v>5</v>
      </c>
    </row>
    <row r="41" spans="2:12">
      <c r="B41">
        <v>357.40999999999985</v>
      </c>
      <c r="C41">
        <v>1.2149999999999999</v>
      </c>
      <c r="D41">
        <v>0.34337488223649465</v>
      </c>
      <c r="E41">
        <v>0.82056371059477495</v>
      </c>
      <c r="F41">
        <v>51.570749368101026</v>
      </c>
      <c r="G41">
        <v>48.429250631898974</v>
      </c>
      <c r="H41">
        <v>0.67177538857655539</v>
      </c>
      <c r="I41">
        <v>0.27124752658300366</v>
      </c>
      <c r="J41">
        <v>-2500.6186640550382</v>
      </c>
      <c r="K41">
        <v>1128.6397883050395</v>
      </c>
      <c r="L41">
        <v>5</v>
      </c>
    </row>
    <row r="42" spans="2:12">
      <c r="B42">
        <v>359.17999999999984</v>
      </c>
      <c r="C42">
        <v>1.2149999999999999</v>
      </c>
      <c r="D42">
        <v>0.32825370055573277</v>
      </c>
      <c r="E42">
        <v>0.81174912148804113</v>
      </c>
      <c r="F42">
        <v>48.220026625437633</v>
      </c>
      <c r="G42">
        <v>51.779973374562367</v>
      </c>
      <c r="H42">
        <v>0.64478195240588942</v>
      </c>
      <c r="I42">
        <v>0.28594040920878661</v>
      </c>
      <c r="J42">
        <v>-2529.5204284671663</v>
      </c>
      <c r="K42">
        <v>1044.7089895237841</v>
      </c>
      <c r="L42">
        <v>5</v>
      </c>
    </row>
    <row r="43" spans="2:12">
      <c r="B43">
        <v>360.94999999999982</v>
      </c>
      <c r="C43">
        <v>1.2149999999999999</v>
      </c>
      <c r="D43">
        <v>0.3126115456627096</v>
      </c>
      <c r="E43">
        <v>0.80269065917004245</v>
      </c>
      <c r="F43">
        <v>44.847780631536459</v>
      </c>
      <c r="G43">
        <v>55.152219368463541</v>
      </c>
      <c r="H43">
        <v>0.61763631794831308</v>
      </c>
      <c r="I43">
        <v>0.30058277688211127</v>
      </c>
      <c r="J43">
        <v>-2558.3228269963415</v>
      </c>
      <c r="K43">
        <v>960.04263602029016</v>
      </c>
      <c r="L43">
        <v>5</v>
      </c>
    </row>
    <row r="44" spans="2:12">
      <c r="B44">
        <v>362.7199999999998</v>
      </c>
      <c r="C44">
        <v>1.2149999999999999</v>
      </c>
      <c r="D44">
        <v>0.29624147929780009</v>
      </c>
      <c r="E44">
        <v>0.79311753434184895</v>
      </c>
      <c r="F44">
        <v>41.392356534864177</v>
      </c>
      <c r="G44">
        <v>58.607643465135823</v>
      </c>
      <c r="H44">
        <v>0.58992082908053112</v>
      </c>
      <c r="I44">
        <v>0.31573762523984616</v>
      </c>
      <c r="J44">
        <v>-2588.1333051776742</v>
      </c>
      <c r="K44">
        <v>874.002370734294</v>
      </c>
      <c r="L44">
        <v>6</v>
      </c>
    </row>
    <row r="45" spans="2:12">
      <c r="B45">
        <v>364.48999999999978</v>
      </c>
      <c r="C45">
        <v>1.2149999999999999</v>
      </c>
      <c r="D45">
        <v>0.27900253052343094</v>
      </c>
      <c r="E45">
        <v>0.7826251833249368</v>
      </c>
      <c r="F45">
        <v>37.787208981589885</v>
      </c>
      <c r="G45">
        <v>62.212791018410115</v>
      </c>
      <c r="H45">
        <v>0.5611844140702873</v>
      </c>
      <c r="I45">
        <v>0.33234171605269508</v>
      </c>
      <c r="J45">
        <v>-2620.7945285177721</v>
      </c>
      <c r="K45">
        <v>786.54537933157303</v>
      </c>
      <c r="L45">
        <v>5</v>
      </c>
    </row>
    <row r="46" spans="2:12">
      <c r="B46">
        <v>366.25999999999976</v>
      </c>
      <c r="C46">
        <v>1.2149999999999999</v>
      </c>
      <c r="D46">
        <v>0.26090287557983233</v>
      </c>
      <c r="E46">
        <v>0.77059845405173899</v>
      </c>
      <c r="F46">
        <v>33.954950785234679</v>
      </c>
      <c r="G46">
        <v>66.045049214765328</v>
      </c>
      <c r="H46">
        <v>0.53090210211947875</v>
      </c>
      <c r="I46">
        <v>0.35197783446761693</v>
      </c>
      <c r="J46">
        <v>-2659.4199285057125</v>
      </c>
      <c r="K46">
        <v>698.59071536513363</v>
      </c>
      <c r="L46">
        <v>5</v>
      </c>
    </row>
    <row r="47" spans="2:12">
      <c r="B47">
        <v>368.02999999999975</v>
      </c>
      <c r="C47">
        <v>1.2149999999999999</v>
      </c>
      <c r="D47">
        <v>0.24222566047840186</v>
      </c>
      <c r="E47">
        <v>0.75615162914480305</v>
      </c>
      <c r="F47">
        <v>29.79944882120985</v>
      </c>
      <c r="G47">
        <v>70.20055117879015</v>
      </c>
      <c r="H47">
        <v>0.49842126057474206</v>
      </c>
      <c r="I47">
        <v>0.37719123506877583</v>
      </c>
      <c r="J47">
        <v>-2709.0161706294039</v>
      </c>
      <c r="K47">
        <v>612.41703983182583</v>
      </c>
      <c r="L47">
        <v>5</v>
      </c>
    </row>
    <row r="48" spans="2:12">
      <c r="B48">
        <v>369.79999999999973</v>
      </c>
      <c r="C48">
        <v>1.2149999999999999</v>
      </c>
      <c r="D48">
        <v>0.22362112945308654</v>
      </c>
      <c r="E48">
        <v>0.73818162428548573</v>
      </c>
      <c r="F48">
        <v>25.194378710646351</v>
      </c>
      <c r="G48">
        <v>74.805621289353653</v>
      </c>
      <c r="H48">
        <v>0.46288361947231371</v>
      </c>
      <c r="I48">
        <v>0.41164912161301265</v>
      </c>
      <c r="J48">
        <v>-2776.7968603964205</v>
      </c>
      <c r="K48">
        <v>531.65038979069163</v>
      </c>
      <c r="L48">
        <v>5</v>
      </c>
    </row>
    <row r="49" spans="2:12">
      <c r="B49">
        <v>371.56999999999971</v>
      </c>
      <c r="C49">
        <v>1.2149999999999999</v>
      </c>
      <c r="D49">
        <v>0.2060049002486572</v>
      </c>
      <c r="E49">
        <v>0.71561457889852165</v>
      </c>
      <c r="F49">
        <v>19.964431632665146</v>
      </c>
      <c r="G49">
        <v>80.035568367334861</v>
      </c>
      <c r="H49">
        <v>0.42309749585164991</v>
      </c>
      <c r="I49">
        <v>0.45993125900286624</v>
      </c>
      <c r="J49">
        <v>-2871.7706647679911</v>
      </c>
      <c r="K49">
        <v>460.31819742788775</v>
      </c>
      <c r="L49">
        <v>5</v>
      </c>
    </row>
    <row r="50" spans="2:12">
      <c r="B50">
        <v>373.33999999999969</v>
      </c>
      <c r="C50">
        <v>1.2149999999999999</v>
      </c>
      <c r="D50">
        <v>0.19023252213503977</v>
      </c>
      <c r="E50">
        <v>0.68771068563529669</v>
      </c>
      <c r="F50">
        <v>13.853983946461856</v>
      </c>
      <c r="G50">
        <v>86.146016053538148</v>
      </c>
      <c r="H50">
        <v>0.37732447252471168</v>
      </c>
      <c r="I50">
        <v>0.52723784400753448</v>
      </c>
      <c r="J50">
        <v>-3004.1666766830563</v>
      </c>
      <c r="K50">
        <v>401.38297183635103</v>
      </c>
      <c r="L50">
        <v>5</v>
      </c>
    </row>
    <row r="51" spans="2:12">
      <c r="B51">
        <v>375.10999999999967</v>
      </c>
      <c r="C51">
        <v>1.2149999999999999</v>
      </c>
      <c r="D51">
        <v>0.17681018876063714</v>
      </c>
      <c r="E51">
        <v>0.65411961959135367</v>
      </c>
      <c r="F51">
        <v>6.4702315254729461</v>
      </c>
      <c r="G51">
        <v>93.52976847452706</v>
      </c>
      <c r="H51">
        <v>0.32289246689117701</v>
      </c>
      <c r="I51">
        <v>0.61989217328828294</v>
      </c>
      <c r="J51">
        <v>-3186.4231926329521</v>
      </c>
      <c r="K51">
        <v>356.11370423807199</v>
      </c>
      <c r="L51">
        <v>4</v>
      </c>
    </row>
    <row r="52" spans="2:12">
      <c r="B52">
        <v>376.87999999999965</v>
      </c>
      <c r="C52">
        <v>1.2149999999999999</v>
      </c>
      <c r="D52">
        <v>0.16587650870773668</v>
      </c>
      <c r="E52">
        <v>0.61463999599809094</v>
      </c>
      <c r="F52">
        <v>-2.8253287036716666</v>
      </c>
      <c r="G52">
        <v>102.82532870367167</v>
      </c>
      <c r="H52">
        <v>0.25545749430349218</v>
      </c>
      <c r="I52">
        <v>0.74729788296017907</v>
      </c>
      <c r="J52">
        <v>-3437.0377180110818</v>
      </c>
      <c r="K52">
        <v>324.85004419967936</v>
      </c>
      <c r="L52">
        <v>4</v>
      </c>
    </row>
    <row r="53" spans="2:12">
      <c r="B53">
        <v>341.48</v>
      </c>
      <c r="C53">
        <v>1.2299999999999998</v>
      </c>
      <c r="D53">
        <v>0.51548433969458618</v>
      </c>
      <c r="E53">
        <v>0.91779559633430985</v>
      </c>
      <c r="F53">
        <v>100</v>
      </c>
      <c r="G53">
        <v>0</v>
      </c>
      <c r="H53">
        <v>1.0384884574792115</v>
      </c>
      <c r="I53">
        <v>8.004847772512047E-2</v>
      </c>
      <c r="J53">
        <v>-2124.5188879487077</v>
      </c>
      <c r="K53">
        <v>2285.4006402118116</v>
      </c>
      <c r="L53">
        <v>6</v>
      </c>
    </row>
    <row r="54" spans="2:12">
      <c r="B54">
        <v>343.25</v>
      </c>
      <c r="C54">
        <v>1.2299999999999998</v>
      </c>
      <c r="D54">
        <v>0.48428866100888146</v>
      </c>
      <c r="E54">
        <v>0.90273794582333222</v>
      </c>
      <c r="F54">
        <v>89.427243824531431</v>
      </c>
      <c r="G54">
        <v>10.572756175468569</v>
      </c>
      <c r="H54">
        <v>0.96245342133136813</v>
      </c>
      <c r="I54">
        <v>0.112945716223711</v>
      </c>
      <c r="J54">
        <v>-2189.2296912071115</v>
      </c>
      <c r="K54">
        <v>2032.2849923722304</v>
      </c>
      <c r="L54">
        <v>6</v>
      </c>
    </row>
    <row r="55" spans="2:12">
      <c r="B55">
        <v>345.02</v>
      </c>
      <c r="C55">
        <v>1.2299999999999998</v>
      </c>
      <c r="D55">
        <v>0.45956076652071476</v>
      </c>
      <c r="E55">
        <v>0.88926633953683476</v>
      </c>
      <c r="F55">
        <v>81.713971208586088</v>
      </c>
      <c r="G55">
        <v>18.286028791413912</v>
      </c>
      <c r="H55">
        <v>0.90589083312222207</v>
      </c>
      <c r="I55">
        <v>0.1413378468351556</v>
      </c>
      <c r="J55">
        <v>-2245.0786822451532</v>
      </c>
      <c r="K55">
        <v>1851.7023646960415</v>
      </c>
      <c r="L55">
        <v>6</v>
      </c>
    </row>
    <row r="56" spans="2:12">
      <c r="B56">
        <v>346.78999999999996</v>
      </c>
      <c r="C56">
        <v>1.2299999999999998</v>
      </c>
      <c r="D56">
        <v>0.43880536440239537</v>
      </c>
      <c r="E56">
        <v>0.87717719558712992</v>
      </c>
      <c r="F56">
        <v>75.630504965990738</v>
      </c>
      <c r="G56">
        <v>24.369495034009262</v>
      </c>
      <c r="H56">
        <v>0.86040472666270262</v>
      </c>
      <c r="I56">
        <v>0.16612108541751097</v>
      </c>
      <c r="J56">
        <v>-2293.8287703742099</v>
      </c>
      <c r="K56">
        <v>1710.320527824307</v>
      </c>
      <c r="L56">
        <v>6</v>
      </c>
    </row>
    <row r="57" spans="2:12">
      <c r="B57">
        <v>348.55999999999995</v>
      </c>
      <c r="C57">
        <v>1.2299999999999998</v>
      </c>
      <c r="D57">
        <v>0.42057297447302938</v>
      </c>
      <c r="E57">
        <v>0.86616642023065238</v>
      </c>
      <c r="F57">
        <v>70.553912256238732</v>
      </c>
      <c r="G57">
        <v>29.446087743761268</v>
      </c>
      <c r="H57">
        <v>0.82175001386763147</v>
      </c>
      <c r="I57">
        <v>0.18813916714328921</v>
      </c>
      <c r="J57">
        <v>-2337.1396323100939</v>
      </c>
      <c r="K57">
        <v>1592.0546902767935</v>
      </c>
      <c r="L57">
        <v>5</v>
      </c>
    </row>
    <row r="58" spans="2:12">
      <c r="B58">
        <v>350.32999999999993</v>
      </c>
      <c r="C58">
        <v>1.2299999999999998</v>
      </c>
      <c r="D58">
        <v>0.40396637744570923</v>
      </c>
      <c r="E58">
        <v>0.85596655586456005</v>
      </c>
      <c r="F58">
        <v>66.132873808015972</v>
      </c>
      <c r="G58">
        <v>33.867126191984028</v>
      </c>
      <c r="H58">
        <v>0.78753631715317551</v>
      </c>
      <c r="I58">
        <v>0.20803851110054833</v>
      </c>
      <c r="J58">
        <v>-2376.2828124236671</v>
      </c>
      <c r="K58">
        <v>1488.1846181239407</v>
      </c>
      <c r="L58">
        <v>5</v>
      </c>
    </row>
    <row r="59" spans="2:12">
      <c r="B59">
        <v>352.09999999999991</v>
      </c>
      <c r="C59">
        <v>1.2299999999999998</v>
      </c>
      <c r="D59">
        <v>0.38838689719957825</v>
      </c>
      <c r="E59">
        <v>0.84636071155737203</v>
      </c>
      <c r="F59">
        <v>62.150411207631038</v>
      </c>
      <c r="G59">
        <v>37.849588792368962</v>
      </c>
      <c r="H59">
        <v>0.75628933510765406</v>
      </c>
      <c r="I59">
        <v>0.22629959441667846</v>
      </c>
      <c r="J59">
        <v>-2412.2034374878667</v>
      </c>
      <c r="K59">
        <v>1393.4928582378607</v>
      </c>
      <c r="L59">
        <v>5</v>
      </c>
    </row>
    <row r="60" spans="2:12">
      <c r="B60">
        <v>353.86999999999989</v>
      </c>
      <c r="C60">
        <v>1.2299999999999998</v>
      </c>
      <c r="D60">
        <v>0.37340300059215265</v>
      </c>
      <c r="E60">
        <v>0.83717102986797254</v>
      </c>
      <c r="F60">
        <v>58.461547270721063</v>
      </c>
      <c r="G60">
        <v>41.538452729278937</v>
      </c>
      <c r="H60">
        <v>0.72702516901492686</v>
      </c>
      <c r="I60">
        <v>0.24328751231129808</v>
      </c>
      <c r="J60">
        <v>-2445.619671275871</v>
      </c>
      <c r="K60">
        <v>1304.5848777582655</v>
      </c>
      <c r="L60">
        <v>5</v>
      </c>
    </row>
    <row r="61" spans="2:12">
      <c r="B61">
        <v>355.63999999999987</v>
      </c>
      <c r="C61">
        <v>1.2299999999999998</v>
      </c>
      <c r="D61">
        <v>0.35867810559711805</v>
      </c>
      <c r="E61">
        <v>0.82824303402990518</v>
      </c>
      <c r="F61">
        <v>54.961955955501061</v>
      </c>
      <c r="G61">
        <v>45.038044044498939</v>
      </c>
      <c r="H61">
        <v>0.69903652115894643</v>
      </c>
      <c r="I61">
        <v>0.25929740190876038</v>
      </c>
      <c r="J61">
        <v>-2477.1120658722912</v>
      </c>
      <c r="K61">
        <v>1219.0847243166872</v>
      </c>
      <c r="L61">
        <v>5</v>
      </c>
    </row>
    <row r="62" spans="2:12">
      <c r="B62">
        <v>357.40999999999985</v>
      </c>
      <c r="C62">
        <v>1.2299999999999998</v>
      </c>
      <c r="D62">
        <v>0.34392910001914639</v>
      </c>
      <c r="E62">
        <v>0.81942939630712219</v>
      </c>
      <c r="F62">
        <v>51.570749368101026</v>
      </c>
      <c r="G62">
        <v>48.429250631898974</v>
      </c>
      <c r="H62">
        <v>0.67177538857655539</v>
      </c>
      <c r="I62">
        <v>0.27459626147909011</v>
      </c>
      <c r="J62">
        <v>-2507.2058225800456</v>
      </c>
      <c r="K62">
        <v>1135.2269468300472</v>
      </c>
      <c r="L62">
        <v>5</v>
      </c>
    </row>
    <row r="63" spans="2:12">
      <c r="B63">
        <v>359.17999999999984</v>
      </c>
      <c r="C63">
        <v>1.2299999999999998</v>
      </c>
      <c r="D63">
        <v>0.32890265414627712</v>
      </c>
      <c r="E63">
        <v>0.8105711589212008</v>
      </c>
      <c r="F63">
        <v>48.220026625437633</v>
      </c>
      <c r="G63">
        <v>51.779973374562367</v>
      </c>
      <c r="H63">
        <v>0.64478195240588942</v>
      </c>
      <c r="I63">
        <v>0.28947053771753706</v>
      </c>
      <c r="J63">
        <v>-2536.4643988984967</v>
      </c>
      <c r="K63">
        <v>1051.6529599551145</v>
      </c>
      <c r="L63">
        <v>5</v>
      </c>
    </row>
    <row r="64" spans="2:12">
      <c r="B64">
        <v>360.94999999999982</v>
      </c>
      <c r="C64">
        <v>1.2299999999999998</v>
      </c>
      <c r="D64">
        <v>0.31336581066701619</v>
      </c>
      <c r="E64">
        <v>0.8014722865005528</v>
      </c>
      <c r="F64">
        <v>44.847780631536459</v>
      </c>
      <c r="G64">
        <v>55.152219368463541</v>
      </c>
      <c r="H64">
        <v>0.61763631794831308</v>
      </c>
      <c r="I64">
        <v>0.30429367536213731</v>
      </c>
      <c r="J64">
        <v>-2565.6223825946986</v>
      </c>
      <c r="K64">
        <v>967.34219161864712</v>
      </c>
      <c r="L64">
        <v>5</v>
      </c>
    </row>
    <row r="65" spans="2:12">
      <c r="B65">
        <v>362.7199999999998</v>
      </c>
      <c r="C65">
        <v>1.2299999999999998</v>
      </c>
      <c r="D65">
        <v>0.29711470687069175</v>
      </c>
      <c r="E65">
        <v>0.79186134975529399</v>
      </c>
      <c r="F65">
        <v>41.392356534864177</v>
      </c>
      <c r="G65">
        <v>58.607643465135823</v>
      </c>
      <c r="H65">
        <v>0.58992082908053112</v>
      </c>
      <c r="I65">
        <v>0.31963562061317757</v>
      </c>
      <c r="J65">
        <v>-2595.8008913708622</v>
      </c>
      <c r="K65">
        <v>881.66995692748242</v>
      </c>
      <c r="L65">
        <v>5</v>
      </c>
    </row>
    <row r="66" spans="2:12">
      <c r="B66">
        <v>364.48999999999978</v>
      </c>
      <c r="C66">
        <v>1.2299999999999998</v>
      </c>
      <c r="D66">
        <v>0.28001269062159417</v>
      </c>
      <c r="E66">
        <v>0.78133332833851044</v>
      </c>
      <c r="F66">
        <v>37.787208981589885</v>
      </c>
      <c r="G66">
        <v>62.212791018410115</v>
      </c>
      <c r="H66">
        <v>0.5611844140702873</v>
      </c>
      <c r="I66">
        <v>0.33644470020149375</v>
      </c>
      <c r="J66">
        <v>-2628.8653396904679</v>
      </c>
      <c r="K66">
        <v>794.61619050426884</v>
      </c>
      <c r="L66">
        <v>5</v>
      </c>
    </row>
    <row r="67" spans="2:12">
      <c r="B67">
        <v>366.25999999999976</v>
      </c>
      <c r="C67">
        <v>1.2299999999999998</v>
      </c>
      <c r="D67">
        <v>0.26207391283248727</v>
      </c>
      <c r="E67">
        <v>0.76927313125258823</v>
      </c>
      <c r="F67">
        <v>33.954950785234679</v>
      </c>
      <c r="G67">
        <v>66.045049214765328</v>
      </c>
      <c r="H67">
        <v>0.53090210211947875</v>
      </c>
      <c r="I67">
        <v>0.35632323983141467</v>
      </c>
      <c r="J67">
        <v>-2667.9675964683829</v>
      </c>
      <c r="K67">
        <v>707.13838332780415</v>
      </c>
      <c r="L67">
        <v>5</v>
      </c>
    </row>
    <row r="68" spans="2:12">
      <c r="B68">
        <v>368.02999999999975</v>
      </c>
      <c r="C68">
        <v>1.2299999999999998</v>
      </c>
      <c r="D68">
        <v>0.24358930370874221</v>
      </c>
      <c r="E68">
        <v>0.75479657015921031</v>
      </c>
      <c r="F68">
        <v>29.79944882120985</v>
      </c>
      <c r="G68">
        <v>70.20055117879015</v>
      </c>
      <c r="H68">
        <v>0.49842126057474206</v>
      </c>
      <c r="I68">
        <v>0.38184791698320514</v>
      </c>
      <c r="J68">
        <v>-2718.1761378775518</v>
      </c>
      <c r="K68">
        <v>621.5770070799739</v>
      </c>
      <c r="L68">
        <v>5</v>
      </c>
    </row>
    <row r="69" spans="2:12">
      <c r="B69">
        <v>369.79999999999973</v>
      </c>
      <c r="C69">
        <v>1.2299999999999998</v>
      </c>
      <c r="D69">
        <v>0.22521794396024253</v>
      </c>
      <c r="E69">
        <v>0.73680549928633354</v>
      </c>
      <c r="F69">
        <v>25.194378710646351</v>
      </c>
      <c r="G69">
        <v>74.805621289353653</v>
      </c>
      <c r="H69">
        <v>0.46288361947231371</v>
      </c>
      <c r="I69">
        <v>0.41673120953416093</v>
      </c>
      <c r="J69">
        <v>-2786.7936262836674</v>
      </c>
      <c r="K69">
        <v>541.6471556779386</v>
      </c>
      <c r="L69">
        <v>5</v>
      </c>
    </row>
    <row r="70" spans="2:12">
      <c r="B70">
        <v>371.56999999999971</v>
      </c>
      <c r="C70">
        <v>1.2299999999999998</v>
      </c>
      <c r="D70">
        <v>0.20788330612805217</v>
      </c>
      <c r="E70">
        <v>0.71423696514567747</v>
      </c>
      <c r="F70">
        <v>19.964431632665146</v>
      </c>
      <c r="G70">
        <v>80.035568367334861</v>
      </c>
      <c r="H70">
        <v>0.42309749585164991</v>
      </c>
      <c r="I70">
        <v>0.46560942269425959</v>
      </c>
      <c r="J70">
        <v>-2882.9399467585908</v>
      </c>
      <c r="K70">
        <v>471.48747941848745</v>
      </c>
      <c r="L70">
        <v>5</v>
      </c>
    </row>
    <row r="71" spans="2:12">
      <c r="B71">
        <v>373.33999999999969</v>
      </c>
      <c r="C71">
        <v>1.2299999999999998</v>
      </c>
      <c r="D71">
        <v>0.19244564207114495</v>
      </c>
      <c r="E71">
        <v>0.6863695950099582</v>
      </c>
      <c r="F71">
        <v>13.853983946461856</v>
      </c>
      <c r="G71">
        <v>86.146016053538148</v>
      </c>
      <c r="H71">
        <v>0.37732447252471168</v>
      </c>
      <c r="I71">
        <v>0.53374695319281262</v>
      </c>
      <c r="J71">
        <v>-3016.9704773392741</v>
      </c>
      <c r="K71">
        <v>414.18677249256882</v>
      </c>
      <c r="L71">
        <v>4</v>
      </c>
    </row>
    <row r="72" spans="2:12">
      <c r="B72">
        <v>375.10999999999967</v>
      </c>
      <c r="C72">
        <v>1.2299999999999998</v>
      </c>
      <c r="D72">
        <v>0.17941253556261177</v>
      </c>
      <c r="E72">
        <v>0.65287863771254051</v>
      </c>
      <c r="F72">
        <v>6.4702315254729461</v>
      </c>
      <c r="G72">
        <v>93.52976847452706</v>
      </c>
      <c r="H72">
        <v>0.32289246689117701</v>
      </c>
      <c r="I72">
        <v>0.6275451630819654</v>
      </c>
      <c r="J72">
        <v>-3201.4770737329959</v>
      </c>
      <c r="K72">
        <v>371.1675853381156</v>
      </c>
      <c r="L72">
        <v>4</v>
      </c>
    </row>
    <row r="73" spans="2:12">
      <c r="B73">
        <v>376.87999999999965</v>
      </c>
      <c r="C73">
        <v>1.2299999999999998</v>
      </c>
      <c r="D73">
        <v>0.16892260246255419</v>
      </c>
      <c r="E73">
        <v>0.61359486093586746</v>
      </c>
      <c r="F73">
        <v>-2.8253287036716666</v>
      </c>
      <c r="G73">
        <v>102.82532870367167</v>
      </c>
      <c r="H73">
        <v>0.25545749430349218</v>
      </c>
      <c r="I73">
        <v>0.7565237827498108</v>
      </c>
      <c r="J73">
        <v>-3455.1856055972753</v>
      </c>
      <c r="K73">
        <v>342.99793178587242</v>
      </c>
      <c r="L73">
        <v>4</v>
      </c>
    </row>
    <row r="74" spans="2:12">
      <c r="B74">
        <v>341.48</v>
      </c>
      <c r="C74">
        <v>1.2449999999999997</v>
      </c>
      <c r="D74">
        <v>0.51547083755102141</v>
      </c>
      <c r="E74">
        <v>0.91743128398817853</v>
      </c>
      <c r="F74">
        <v>100</v>
      </c>
      <c r="G74">
        <v>0</v>
      </c>
      <c r="H74">
        <v>1.0384884574792115</v>
      </c>
      <c r="I74">
        <v>8.1024678672987779E-2</v>
      </c>
      <c r="J74">
        <v>-2126.4391326367477</v>
      </c>
      <c r="K74">
        <v>2287.320884899852</v>
      </c>
      <c r="L74">
        <v>6</v>
      </c>
    </row>
    <row r="75" spans="2:12">
      <c r="B75">
        <v>343.25</v>
      </c>
      <c r="C75">
        <v>1.2449999999999997</v>
      </c>
      <c r="D75">
        <v>0.48430875857804634</v>
      </c>
      <c r="E75">
        <v>0.90222277307286991</v>
      </c>
      <c r="F75">
        <v>89.427243824531431</v>
      </c>
      <c r="G75">
        <v>10.572756175468569</v>
      </c>
      <c r="H75">
        <v>0.96245342133136813</v>
      </c>
      <c r="I75">
        <v>0.11432310300692697</v>
      </c>
      <c r="J75">
        <v>-2191.9390920324495</v>
      </c>
      <c r="K75">
        <v>2034.9943931975683</v>
      </c>
      <c r="L75">
        <v>6</v>
      </c>
    </row>
    <row r="76" spans="2:12">
      <c r="B76">
        <v>345.02</v>
      </c>
      <c r="C76">
        <v>1.2449999999999997</v>
      </c>
      <c r="D76">
        <v>0.45962721603164941</v>
      </c>
      <c r="E76">
        <v>0.88862669937405148</v>
      </c>
      <c r="F76">
        <v>81.713971208586088</v>
      </c>
      <c r="G76">
        <v>18.286028791413912</v>
      </c>
      <c r="H76">
        <v>0.90589083312222207</v>
      </c>
      <c r="I76">
        <v>0.14306147911363309</v>
      </c>
      <c r="J76">
        <v>-2248.4691683270526</v>
      </c>
      <c r="K76">
        <v>1855.0928507779408</v>
      </c>
      <c r="L76">
        <v>6</v>
      </c>
    </row>
    <row r="77" spans="2:12">
      <c r="B77">
        <v>346.78999999999996</v>
      </c>
      <c r="C77">
        <v>1.2449999999999997</v>
      </c>
      <c r="D77">
        <v>0.43892589523129139</v>
      </c>
      <c r="E77">
        <v>0.87643429582833854</v>
      </c>
      <c r="F77">
        <v>75.630504965990738</v>
      </c>
      <c r="G77">
        <v>24.369495034009262</v>
      </c>
      <c r="H77">
        <v>0.86040472666270262</v>
      </c>
      <c r="I77">
        <v>0.16814695231284646</v>
      </c>
      <c r="J77">
        <v>-2297.8137697259758</v>
      </c>
      <c r="K77">
        <v>1714.3055271760727</v>
      </c>
      <c r="L77">
        <v>5</v>
      </c>
    </row>
    <row r="78" spans="2:12">
      <c r="B78">
        <v>348.55999999999995</v>
      </c>
      <c r="C78">
        <v>1.2449999999999997</v>
      </c>
      <c r="D78">
        <v>0.42075301670326481</v>
      </c>
      <c r="E78">
        <v>0.86533640779473076</v>
      </c>
      <c r="F78">
        <v>70.553912256238732</v>
      </c>
      <c r="G78">
        <v>29.446087743761268</v>
      </c>
      <c r="H78">
        <v>0.82175001386763147</v>
      </c>
      <c r="I78">
        <v>0.19043354723040248</v>
      </c>
      <c r="J78">
        <v>-2341.6528129049802</v>
      </c>
      <c r="K78">
        <v>1596.5678708716796</v>
      </c>
      <c r="L78">
        <v>5</v>
      </c>
    </row>
    <row r="79" spans="2:12">
      <c r="B79">
        <v>350.32999999999993</v>
      </c>
      <c r="C79">
        <v>1.2449999999999997</v>
      </c>
      <c r="D79">
        <v>0.40421048092513162</v>
      </c>
      <c r="E79">
        <v>0.85506174073280317</v>
      </c>
      <c r="F79">
        <v>66.132873808015972</v>
      </c>
      <c r="G79">
        <v>33.867126191984028</v>
      </c>
      <c r="H79">
        <v>0.78753631715317551</v>
      </c>
      <c r="I79">
        <v>0.21057556611396963</v>
      </c>
      <c r="J79">
        <v>-2381.2733488735971</v>
      </c>
      <c r="K79">
        <v>1493.1751545738705</v>
      </c>
      <c r="L79">
        <v>5</v>
      </c>
    </row>
    <row r="80" spans="2:12">
      <c r="B80">
        <v>352.09999999999991</v>
      </c>
      <c r="C80">
        <v>1.2449999999999997</v>
      </c>
      <c r="D80">
        <v>0.38869950165626271</v>
      </c>
      <c r="E80">
        <v>0.84539062919843233</v>
      </c>
      <c r="F80">
        <v>62.150411207631038</v>
      </c>
      <c r="G80">
        <v>37.849588792368962</v>
      </c>
      <c r="H80">
        <v>0.75628933510765406</v>
      </c>
      <c r="I80">
        <v>0.22905934556810137</v>
      </c>
      <c r="J80">
        <v>-2417.6320303410184</v>
      </c>
      <c r="K80">
        <v>1398.9214510910126</v>
      </c>
      <c r="L80">
        <v>5</v>
      </c>
    </row>
    <row r="81" spans="2:12">
      <c r="B81">
        <v>353.86999999999989</v>
      </c>
      <c r="C81">
        <v>1.2449999999999997</v>
      </c>
      <c r="D81">
        <v>0.3737889156778792</v>
      </c>
      <c r="E81">
        <v>0.83614320624257332</v>
      </c>
      <c r="F81">
        <v>58.461547270721063</v>
      </c>
      <c r="G81">
        <v>41.538452729278937</v>
      </c>
      <c r="H81">
        <v>0.72702516901492686</v>
      </c>
      <c r="I81">
        <v>0.24625443319314316</v>
      </c>
      <c r="J81">
        <v>-2451.4557791752181</v>
      </c>
      <c r="K81">
        <v>1310.4209856576126</v>
      </c>
      <c r="L81">
        <v>5</v>
      </c>
    </row>
    <row r="82" spans="2:12">
      <c r="B82">
        <v>355.63999999999987</v>
      </c>
      <c r="C82">
        <v>1.2449999999999997</v>
      </c>
      <c r="D82">
        <v>0.35914288432448793</v>
      </c>
      <c r="E82">
        <v>0.82716351000944788</v>
      </c>
      <c r="F82">
        <v>54.961955955501061</v>
      </c>
      <c r="G82">
        <v>45.038044044498939</v>
      </c>
      <c r="H82">
        <v>0.69903652115894643</v>
      </c>
      <c r="I82">
        <v>0.26245956534667209</v>
      </c>
      <c r="J82">
        <v>-2483.3322273642775</v>
      </c>
      <c r="K82">
        <v>1225.3048858086736</v>
      </c>
      <c r="L82">
        <v>5</v>
      </c>
    </row>
    <row r="83" spans="2:12">
      <c r="B83">
        <v>357.40999999999985</v>
      </c>
      <c r="C83">
        <v>1.2449999999999997</v>
      </c>
      <c r="D83">
        <v>0.34447940943369693</v>
      </c>
      <c r="E83">
        <v>0.81830308125355633</v>
      </c>
      <c r="F83">
        <v>51.570749368101026</v>
      </c>
      <c r="G83">
        <v>48.429250631898974</v>
      </c>
      <c r="H83">
        <v>0.67177538857655539</v>
      </c>
      <c r="I83">
        <v>0.27794499637517656</v>
      </c>
      <c r="J83">
        <v>-2513.7929811050535</v>
      </c>
      <c r="K83">
        <v>1141.8141053550548</v>
      </c>
      <c r="L83">
        <v>5</v>
      </c>
    </row>
    <row r="84" spans="2:12">
      <c r="B84">
        <v>359.17999999999984</v>
      </c>
      <c r="C84">
        <v>1.2449999999999997</v>
      </c>
      <c r="D84">
        <v>0.32954672197859702</v>
      </c>
      <c r="E84">
        <v>0.80940206484724309</v>
      </c>
      <c r="F84">
        <v>48.220026625437633</v>
      </c>
      <c r="G84">
        <v>51.779973374562367</v>
      </c>
      <c r="H84">
        <v>0.64478195240588942</v>
      </c>
      <c r="I84">
        <v>0.29300066622628745</v>
      </c>
      <c r="J84">
        <v>-2543.4083693298267</v>
      </c>
      <c r="K84">
        <v>1058.5969303864447</v>
      </c>
      <c r="L84">
        <v>5</v>
      </c>
    </row>
    <row r="85" spans="2:12">
      <c r="B85">
        <v>360.94999999999982</v>
      </c>
      <c r="C85">
        <v>1.2449999999999997</v>
      </c>
      <c r="D85">
        <v>0.31411402796776339</v>
      </c>
      <c r="E85">
        <v>0.80026368275403847</v>
      </c>
      <c r="F85">
        <v>44.847780631536459</v>
      </c>
      <c r="G85">
        <v>55.152219368463541</v>
      </c>
      <c r="H85">
        <v>0.61763631794831308</v>
      </c>
      <c r="I85">
        <v>0.30800457384216334</v>
      </c>
      <c r="J85">
        <v>-2572.9219381930557</v>
      </c>
      <c r="K85">
        <v>974.64174721700442</v>
      </c>
      <c r="L85">
        <v>5</v>
      </c>
    </row>
    <row r="86" spans="2:12">
      <c r="B86">
        <v>362.7199999999998</v>
      </c>
      <c r="C86">
        <v>1.2449999999999997</v>
      </c>
      <c r="D86">
        <v>0.29798048177408831</v>
      </c>
      <c r="E86">
        <v>0.79061588623257073</v>
      </c>
      <c r="F86">
        <v>41.392356534864177</v>
      </c>
      <c r="G86">
        <v>58.607643465135823</v>
      </c>
      <c r="H86">
        <v>0.58992082908053112</v>
      </c>
      <c r="I86">
        <v>0.32353361598650898</v>
      </c>
      <c r="J86">
        <v>-2603.4684775640508</v>
      </c>
      <c r="K86">
        <v>889.33754312067083</v>
      </c>
      <c r="L86">
        <v>5</v>
      </c>
    </row>
    <row r="87" spans="2:12">
      <c r="B87">
        <v>364.48999999999978</v>
      </c>
      <c r="C87">
        <v>1.2449999999999997</v>
      </c>
      <c r="D87">
        <v>0.28101365803186762</v>
      </c>
      <c r="E87">
        <v>0.78005322952787304</v>
      </c>
      <c r="F87">
        <v>37.787208981589885</v>
      </c>
      <c r="G87">
        <v>62.212791018410115</v>
      </c>
      <c r="H87">
        <v>0.5611844140702873</v>
      </c>
      <c r="I87">
        <v>0.34054768435029248</v>
      </c>
      <c r="J87">
        <v>-2636.9361508631637</v>
      </c>
      <c r="K87">
        <v>802.68700167696454</v>
      </c>
      <c r="L87">
        <v>5</v>
      </c>
    </row>
    <row r="88" spans="2:12">
      <c r="B88">
        <v>366.25999999999976</v>
      </c>
      <c r="C88">
        <v>1.2449999999999997</v>
      </c>
      <c r="D88">
        <v>0.26323353510416797</v>
      </c>
      <c r="E88">
        <v>0.76796072737168952</v>
      </c>
      <c r="F88">
        <v>33.954950785234679</v>
      </c>
      <c r="G88">
        <v>66.045049214765328</v>
      </c>
      <c r="H88">
        <v>0.53090210211947875</v>
      </c>
      <c r="I88">
        <v>0.36066864519521236</v>
      </c>
      <c r="J88">
        <v>-2676.5152644310533</v>
      </c>
      <c r="K88">
        <v>715.68605129047432</v>
      </c>
      <c r="L88">
        <v>5</v>
      </c>
    </row>
    <row r="89" spans="2:12">
      <c r="B89">
        <v>368.02999999999975</v>
      </c>
      <c r="C89">
        <v>1.2449999999999997</v>
      </c>
      <c r="D89">
        <v>0.24493859533504603</v>
      </c>
      <c r="E89">
        <v>0.75345577243314277</v>
      </c>
      <c r="F89">
        <v>29.79944882120985</v>
      </c>
      <c r="G89">
        <v>70.20055117879015</v>
      </c>
      <c r="H89">
        <v>0.49842126057474206</v>
      </c>
      <c r="I89">
        <v>0.38650459889763444</v>
      </c>
      <c r="J89">
        <v>-2727.3361051256998</v>
      </c>
      <c r="K89">
        <v>630.73697432812173</v>
      </c>
      <c r="L89">
        <v>5</v>
      </c>
    </row>
    <row r="90" spans="2:12">
      <c r="B90">
        <v>369.79999999999973</v>
      </c>
      <c r="C90">
        <v>1.2449999999999997</v>
      </c>
      <c r="D90">
        <v>0.22679641285871865</v>
      </c>
      <c r="E90">
        <v>0.73544518442080431</v>
      </c>
      <c r="F90">
        <v>25.194378710646351</v>
      </c>
      <c r="G90">
        <v>74.805621289353653</v>
      </c>
      <c r="H90">
        <v>0.46288361947231371</v>
      </c>
      <c r="I90">
        <v>0.42181329745530921</v>
      </c>
      <c r="J90">
        <v>-2796.7903921709144</v>
      </c>
      <c r="K90">
        <v>551.64392156518568</v>
      </c>
      <c r="L90">
        <v>5</v>
      </c>
    </row>
    <row r="91" spans="2:12">
      <c r="B91">
        <v>371.56999999999971</v>
      </c>
      <c r="C91">
        <v>1.2449999999999997</v>
      </c>
      <c r="D91">
        <v>0.20973786121593935</v>
      </c>
      <c r="E91">
        <v>0.71287684344753655</v>
      </c>
      <c r="F91">
        <v>19.964431632665146</v>
      </c>
      <c r="G91">
        <v>80.035568367334861</v>
      </c>
      <c r="H91">
        <v>0.42309749585164991</v>
      </c>
      <c r="I91">
        <v>0.47128758638565299</v>
      </c>
      <c r="J91">
        <v>-2894.1092287491906</v>
      </c>
      <c r="K91">
        <v>482.65676140908715</v>
      </c>
      <c r="L91">
        <v>5</v>
      </c>
    </row>
    <row r="92" spans="2:12">
      <c r="B92">
        <v>373.33999999999969</v>
      </c>
      <c r="C92">
        <v>1.2449999999999997</v>
      </c>
      <c r="D92">
        <v>0.19462736326075053</v>
      </c>
      <c r="E92">
        <v>0.68504753117295192</v>
      </c>
      <c r="F92">
        <v>13.853983946461856</v>
      </c>
      <c r="G92">
        <v>86.146016053538148</v>
      </c>
      <c r="H92">
        <v>0.37732447252471168</v>
      </c>
      <c r="I92">
        <v>0.54025606237809076</v>
      </c>
      <c r="J92">
        <v>-3029.7742779954915</v>
      </c>
      <c r="K92">
        <v>426.9905731487865</v>
      </c>
      <c r="L92">
        <v>4</v>
      </c>
    </row>
    <row r="93" spans="2:12">
      <c r="B93">
        <v>375.10999999999967</v>
      </c>
      <c r="C93">
        <v>1.2449999999999997</v>
      </c>
      <c r="D93">
        <v>0.18197330856539834</v>
      </c>
      <c r="E93">
        <v>0.65165748114347721</v>
      </c>
      <c r="F93">
        <v>6.4702315254729461</v>
      </c>
      <c r="G93">
        <v>93.52976847452706</v>
      </c>
      <c r="H93">
        <v>0.32289246689117701</v>
      </c>
      <c r="I93">
        <v>0.63519815287564796</v>
      </c>
      <c r="J93">
        <v>-3216.5309548330397</v>
      </c>
      <c r="K93">
        <v>386.22146643815938</v>
      </c>
      <c r="L93">
        <v>4</v>
      </c>
    </row>
    <row r="94" spans="2:12">
      <c r="B94">
        <v>376.87999999999965</v>
      </c>
      <c r="C94">
        <v>1.2449999999999997</v>
      </c>
      <c r="D94">
        <v>0.17191365752126964</v>
      </c>
      <c r="E94">
        <v>0.61256861001697804</v>
      </c>
      <c r="F94">
        <v>-2.8253287036716666</v>
      </c>
      <c r="G94">
        <v>102.82532870367167</v>
      </c>
      <c r="H94">
        <v>0.25545749430349218</v>
      </c>
      <c r="I94">
        <v>0.76574968253944264</v>
      </c>
      <c r="J94">
        <v>-3473.3334931834688</v>
      </c>
      <c r="K94">
        <v>361.14581937206606</v>
      </c>
      <c r="L94">
        <v>4</v>
      </c>
    </row>
    <row r="95" spans="2:12">
      <c r="B95">
        <v>341.48</v>
      </c>
      <c r="C95">
        <v>1.2599999999999996</v>
      </c>
      <c r="D95">
        <v>0.51545735893432998</v>
      </c>
      <c r="E95">
        <v>0.9170676064398019</v>
      </c>
      <c r="F95">
        <v>100</v>
      </c>
      <c r="G95">
        <v>0</v>
      </c>
      <c r="H95">
        <v>1.0384884574792115</v>
      </c>
      <c r="I95">
        <v>8.2000879620855102E-2</v>
      </c>
      <c r="J95">
        <v>-2128.3593773247881</v>
      </c>
      <c r="K95">
        <v>2289.2411295878919</v>
      </c>
      <c r="L95">
        <v>6</v>
      </c>
    </row>
    <row r="96" spans="2:12">
      <c r="B96">
        <v>343.25</v>
      </c>
      <c r="C96">
        <v>1.2599999999999996</v>
      </c>
      <c r="D96">
        <v>0.4843288047962383</v>
      </c>
      <c r="E96">
        <v>0.90170891663194419</v>
      </c>
      <c r="F96">
        <v>89.427243824531431</v>
      </c>
      <c r="G96">
        <v>10.572756175468569</v>
      </c>
      <c r="H96">
        <v>0.96245342133136813</v>
      </c>
      <c r="I96">
        <v>0.11570048979014295</v>
      </c>
      <c r="J96">
        <v>-2194.6484928577875</v>
      </c>
      <c r="K96">
        <v>2037.7037940229061</v>
      </c>
      <c r="L96">
        <v>6</v>
      </c>
    </row>
    <row r="97" spans="2:12">
      <c r="B97">
        <v>345.02</v>
      </c>
      <c r="C97">
        <v>1.2599999999999996</v>
      </c>
      <c r="D97">
        <v>0.45969344752194202</v>
      </c>
      <c r="E97">
        <v>0.88798915786868382</v>
      </c>
      <c r="F97">
        <v>81.713971208586088</v>
      </c>
      <c r="G97">
        <v>18.286028791413912</v>
      </c>
      <c r="H97">
        <v>0.90589083312222207</v>
      </c>
      <c r="I97">
        <v>0.14478511139211059</v>
      </c>
      <c r="J97">
        <v>-2251.8596544089519</v>
      </c>
      <c r="K97">
        <v>1858.4833368598402</v>
      </c>
      <c r="L97">
        <v>6</v>
      </c>
    </row>
    <row r="98" spans="2:12">
      <c r="B98">
        <v>346.78999999999996</v>
      </c>
      <c r="C98">
        <v>1.2599999999999996</v>
      </c>
      <c r="D98">
        <v>0.43904595219110865</v>
      </c>
      <c r="E98">
        <v>0.8756943167930461</v>
      </c>
      <c r="F98">
        <v>75.630504965990738</v>
      </c>
      <c r="G98">
        <v>24.369495034009262</v>
      </c>
      <c r="H98">
        <v>0.86040472666270262</v>
      </c>
      <c r="I98">
        <v>0.17017281920818195</v>
      </c>
      <c r="J98">
        <v>-2301.7987690777418</v>
      </c>
      <c r="K98">
        <v>1718.2905265278384</v>
      </c>
      <c r="L98">
        <v>5</v>
      </c>
    </row>
    <row r="99" spans="2:12">
      <c r="B99">
        <v>348.55999999999995</v>
      </c>
      <c r="C99">
        <v>1.2599999999999996</v>
      </c>
      <c r="D99">
        <v>0.4209322445534312</v>
      </c>
      <c r="E99">
        <v>0.86451014973123608</v>
      </c>
      <c r="F99">
        <v>70.553912256238732</v>
      </c>
      <c r="G99">
        <v>29.446087743761268</v>
      </c>
      <c r="H99">
        <v>0.82175001386763147</v>
      </c>
      <c r="I99">
        <v>0.19272792731751576</v>
      </c>
      <c r="J99">
        <v>-2346.1659934998665</v>
      </c>
      <c r="K99">
        <v>1601.0810514665659</v>
      </c>
      <c r="L99">
        <v>5</v>
      </c>
    </row>
    <row r="100" spans="2:12">
      <c r="B100">
        <v>350.32999999999993</v>
      </c>
      <c r="C100">
        <v>1.2599999999999996</v>
      </c>
      <c r="D100">
        <v>0.40445334659990034</v>
      </c>
      <c r="E100">
        <v>0.85416151375514981</v>
      </c>
      <c r="F100">
        <v>66.132873808015972</v>
      </c>
      <c r="G100">
        <v>33.867126191984028</v>
      </c>
      <c r="H100">
        <v>0.78753631715317551</v>
      </c>
      <c r="I100">
        <v>0.21311262112739096</v>
      </c>
      <c r="J100">
        <v>-2386.2638853235267</v>
      </c>
      <c r="K100">
        <v>1498.1656910238005</v>
      </c>
      <c r="L100">
        <v>5</v>
      </c>
    </row>
    <row r="101" spans="2:12">
      <c r="B101">
        <v>352.09999999999991</v>
      </c>
      <c r="C101">
        <v>1.2599999999999996</v>
      </c>
      <c r="D101">
        <v>0.38901035992703981</v>
      </c>
      <c r="E101">
        <v>0.84442596564945471</v>
      </c>
      <c r="F101">
        <v>62.150411207631038</v>
      </c>
      <c r="G101">
        <v>37.849588792368962</v>
      </c>
      <c r="H101">
        <v>0.75628933510765406</v>
      </c>
      <c r="I101">
        <v>0.23181909671952425</v>
      </c>
      <c r="J101">
        <v>-2423.0606231941701</v>
      </c>
      <c r="K101">
        <v>1404.3500439441641</v>
      </c>
      <c r="L101">
        <v>5</v>
      </c>
    </row>
    <row r="102" spans="2:12">
      <c r="B102">
        <v>353.86999999999989</v>
      </c>
      <c r="C102">
        <v>1.2599999999999996</v>
      </c>
      <c r="D102">
        <v>0.37417248508656753</v>
      </c>
      <c r="E102">
        <v>0.83512162995594563</v>
      </c>
      <c r="F102">
        <v>58.461547270721063</v>
      </c>
      <c r="G102">
        <v>41.538452729278937</v>
      </c>
      <c r="H102">
        <v>0.72702516901492686</v>
      </c>
      <c r="I102">
        <v>0.24922135407498824</v>
      </c>
      <c r="J102">
        <v>-2457.2918870745652</v>
      </c>
      <c r="K102">
        <v>1316.2570935569595</v>
      </c>
      <c r="L102">
        <v>5</v>
      </c>
    </row>
    <row r="103" spans="2:12">
      <c r="B103">
        <v>355.63999999999987</v>
      </c>
      <c r="C103">
        <v>1.2599999999999996</v>
      </c>
      <c r="D103">
        <v>0.35960461594932486</v>
      </c>
      <c r="E103">
        <v>0.82609106337911919</v>
      </c>
      <c r="F103">
        <v>54.961955955501061</v>
      </c>
      <c r="G103">
        <v>45.038044044498939</v>
      </c>
      <c r="H103">
        <v>0.69903652115894643</v>
      </c>
      <c r="I103">
        <v>0.26562172878458373</v>
      </c>
      <c r="J103">
        <v>-2489.5523888562639</v>
      </c>
      <c r="K103">
        <v>1231.5250473006597</v>
      </c>
      <c r="L103">
        <v>5</v>
      </c>
    </row>
    <row r="104" spans="2:12">
      <c r="B104">
        <v>357.40999999999985</v>
      </c>
      <c r="C104">
        <v>1.2599999999999996</v>
      </c>
      <c r="D104">
        <v>0.34502585167785704</v>
      </c>
      <c r="E104">
        <v>0.81718468111496423</v>
      </c>
      <c r="F104">
        <v>51.570749368101026</v>
      </c>
      <c r="G104">
        <v>48.429250631898974</v>
      </c>
      <c r="H104">
        <v>0.67177538857655539</v>
      </c>
      <c r="I104">
        <v>0.281293731271263</v>
      </c>
      <c r="J104">
        <v>-2520.380139630061</v>
      </c>
      <c r="K104">
        <v>1148.4012638800625</v>
      </c>
      <c r="L104">
        <v>5</v>
      </c>
    </row>
    <row r="105" spans="2:12">
      <c r="B105">
        <v>359.17999999999984</v>
      </c>
      <c r="C105">
        <v>1.2599999999999996</v>
      </c>
      <c r="D105">
        <v>0.33018595902067571</v>
      </c>
      <c r="E105">
        <v>0.80824173948980904</v>
      </c>
      <c r="F105">
        <v>48.220026625437633</v>
      </c>
      <c r="G105">
        <v>51.779973374562367</v>
      </c>
      <c r="H105">
        <v>0.64478195240588942</v>
      </c>
      <c r="I105">
        <v>0.29653079473503791</v>
      </c>
      <c r="J105">
        <v>-2550.3523397611571</v>
      </c>
      <c r="K105">
        <v>1065.5409008177749</v>
      </c>
      <c r="L105">
        <v>5</v>
      </c>
    </row>
    <row r="106" spans="2:12">
      <c r="B106">
        <v>360.94999999999982</v>
      </c>
      <c r="C106">
        <v>1.2599999999999996</v>
      </c>
      <c r="D106">
        <v>0.31485627001032918</v>
      </c>
      <c r="E106">
        <v>0.79906473090867247</v>
      </c>
      <c r="F106">
        <v>44.847780631536459</v>
      </c>
      <c r="G106">
        <v>55.152219368463541</v>
      </c>
      <c r="H106">
        <v>0.61763631794831308</v>
      </c>
      <c r="I106">
        <v>0.31171547232218944</v>
      </c>
      <c r="J106">
        <v>-2580.2214937914127</v>
      </c>
      <c r="K106">
        <v>981.9413028153615</v>
      </c>
      <c r="L106">
        <v>5</v>
      </c>
    </row>
    <row r="107" spans="2:12">
      <c r="B107">
        <v>362.7199999999998</v>
      </c>
      <c r="C107">
        <v>1.2599999999999996</v>
      </c>
      <c r="D107">
        <v>0.29883889901118554</v>
      </c>
      <c r="E107">
        <v>0.78938100710649861</v>
      </c>
      <c r="F107">
        <v>41.392356534864177</v>
      </c>
      <c r="G107">
        <v>58.607643465135823</v>
      </c>
      <c r="H107">
        <v>0.58992082908053112</v>
      </c>
      <c r="I107">
        <v>0.32743161135984039</v>
      </c>
      <c r="J107">
        <v>-2611.1360637572393</v>
      </c>
      <c r="K107">
        <v>897.00512931385924</v>
      </c>
      <c r="L107">
        <v>5</v>
      </c>
    </row>
    <row r="108" spans="2:12">
      <c r="B108">
        <v>364.48999999999978</v>
      </c>
      <c r="C108">
        <v>1.2599999999999996</v>
      </c>
      <c r="D108">
        <v>0.2820055576692167</v>
      </c>
      <c r="E108">
        <v>0.77878472714406888</v>
      </c>
      <c r="F108">
        <v>37.787208981589885</v>
      </c>
      <c r="G108">
        <v>62.212791018410115</v>
      </c>
      <c r="H108">
        <v>0.5611844140702873</v>
      </c>
      <c r="I108">
        <v>0.34465066849909115</v>
      </c>
      <c r="J108">
        <v>-2645.0069620358595</v>
      </c>
      <c r="K108">
        <v>810.75781284966035</v>
      </c>
      <c r="L108">
        <v>5</v>
      </c>
    </row>
    <row r="109" spans="2:12">
      <c r="B109">
        <v>366.25999999999976</v>
      </c>
      <c r="C109">
        <v>1.2599999999999996</v>
      </c>
      <c r="D109">
        <v>0.26438190849095183</v>
      </c>
      <c r="E109">
        <v>0.76666105442961008</v>
      </c>
      <c r="F109">
        <v>33.954950785234679</v>
      </c>
      <c r="G109">
        <v>66.045049214765328</v>
      </c>
      <c r="H109">
        <v>0.53090210211947875</v>
      </c>
      <c r="I109">
        <v>0.36501405055901009</v>
      </c>
      <c r="J109">
        <v>-2685.0629323937237</v>
      </c>
      <c r="K109">
        <v>724.23371925314461</v>
      </c>
      <c r="L109">
        <v>5</v>
      </c>
    </row>
    <row r="110" spans="2:12">
      <c r="B110">
        <v>368.02999999999975</v>
      </c>
      <c r="C110">
        <v>1.2599999999999996</v>
      </c>
      <c r="D110">
        <v>0.24627376073557267</v>
      </c>
      <c r="E110">
        <v>0.75212901200711513</v>
      </c>
      <c r="F110">
        <v>29.79944882120985</v>
      </c>
      <c r="G110">
        <v>70.20055117879015</v>
      </c>
      <c r="H110">
        <v>0.49842126057474206</v>
      </c>
      <c r="I110">
        <v>0.39116128081206375</v>
      </c>
      <c r="J110">
        <v>-2736.4960723738482</v>
      </c>
      <c r="K110">
        <v>639.8969415762698</v>
      </c>
      <c r="L110">
        <v>5</v>
      </c>
    </row>
    <row r="111" spans="2:12">
      <c r="B111">
        <v>369.79999999999973</v>
      </c>
      <c r="C111">
        <v>1.2599999999999996</v>
      </c>
      <c r="D111">
        <v>0.22835685049846838</v>
      </c>
      <c r="E111">
        <v>0.73410040878402594</v>
      </c>
      <c r="F111">
        <v>25.194378710646351</v>
      </c>
      <c r="G111">
        <v>74.805621289353653</v>
      </c>
      <c r="H111">
        <v>0.46288361947231371</v>
      </c>
      <c r="I111">
        <v>0.42689538537645749</v>
      </c>
      <c r="J111">
        <v>-2806.7871580581614</v>
      </c>
      <c r="K111">
        <v>561.64068745243264</v>
      </c>
      <c r="L111">
        <v>5</v>
      </c>
    </row>
    <row r="112" spans="2:12">
      <c r="B112">
        <v>371.56999999999971</v>
      </c>
      <c r="C112">
        <v>1.2599999999999996</v>
      </c>
      <c r="D112">
        <v>0.21156901690959201</v>
      </c>
      <c r="E112">
        <v>0.71153388275153007</v>
      </c>
      <c r="F112">
        <v>19.964431632665146</v>
      </c>
      <c r="G112">
        <v>80.035568367334861</v>
      </c>
      <c r="H112">
        <v>0.42309749585164991</v>
      </c>
      <c r="I112">
        <v>0.47696575007704634</v>
      </c>
      <c r="J112">
        <v>-2905.2785107397904</v>
      </c>
      <c r="K112">
        <v>493.82604339968674</v>
      </c>
      <c r="L112">
        <v>5</v>
      </c>
    </row>
    <row r="113" spans="2:12">
      <c r="B113">
        <v>373.33999999999969</v>
      </c>
      <c r="C113">
        <v>1.2599999999999996</v>
      </c>
      <c r="D113">
        <v>0.19677834920399589</v>
      </c>
      <c r="E113">
        <v>0.68374409206119835</v>
      </c>
      <c r="F113">
        <v>13.853983946461856</v>
      </c>
      <c r="G113">
        <v>86.146016053538148</v>
      </c>
      <c r="H113">
        <v>0.37732447252471168</v>
      </c>
      <c r="I113">
        <v>0.5467651715633689</v>
      </c>
      <c r="J113">
        <v>-3042.5780786517093</v>
      </c>
      <c r="K113">
        <v>439.79437380500417</v>
      </c>
      <c r="L113">
        <v>4</v>
      </c>
    </row>
    <row r="114" spans="2:12">
      <c r="B114">
        <v>375.10999999999967</v>
      </c>
      <c r="C114">
        <v>1.2599999999999996</v>
      </c>
      <c r="D114">
        <v>0.18449349611784324</v>
      </c>
      <c r="E114">
        <v>0.650455678569961</v>
      </c>
      <c r="F114">
        <v>6.4702315254729461</v>
      </c>
      <c r="G114">
        <v>93.52976847452706</v>
      </c>
      <c r="H114">
        <v>0.32289246689117701</v>
      </c>
      <c r="I114">
        <v>0.64285114266933041</v>
      </c>
      <c r="J114">
        <v>-3231.584835933083</v>
      </c>
      <c r="K114">
        <v>401.27534753820305</v>
      </c>
      <c r="L114">
        <v>4</v>
      </c>
    </row>
    <row r="115" spans="2:12">
      <c r="B115">
        <v>376.87999999999965</v>
      </c>
      <c r="C115">
        <v>1.2599999999999996</v>
      </c>
      <c r="D115">
        <v>0.17485115223751785</v>
      </c>
      <c r="E115">
        <v>0.61156073600844107</v>
      </c>
      <c r="F115">
        <v>-2.8253287036716666</v>
      </c>
      <c r="G115">
        <v>102.82532870367167</v>
      </c>
      <c r="H115">
        <v>0.25545749430349218</v>
      </c>
      <c r="I115">
        <v>0.77497558232907438</v>
      </c>
      <c r="J115">
        <v>-3491.4813807696619</v>
      </c>
      <c r="K115">
        <v>379.29370695825907</v>
      </c>
      <c r="L115">
        <v>4</v>
      </c>
    </row>
    <row r="116" spans="2:12">
      <c r="B116">
        <v>341.48</v>
      </c>
      <c r="C116">
        <v>1.2749999999999995</v>
      </c>
      <c r="D116">
        <v>0.51544390378307359</v>
      </c>
      <c r="E116">
        <v>0.91670456203146466</v>
      </c>
      <c r="F116">
        <v>100</v>
      </c>
      <c r="G116">
        <v>0</v>
      </c>
      <c r="H116">
        <v>1.0384884574792115</v>
      </c>
      <c r="I116">
        <v>8.2977080568722411E-2</v>
      </c>
      <c r="J116">
        <v>-2130.2796220128284</v>
      </c>
      <c r="K116">
        <v>2291.1613742759323</v>
      </c>
      <c r="L116">
        <v>6</v>
      </c>
    </row>
    <row r="117" spans="2:12">
      <c r="B117">
        <v>343.25</v>
      </c>
      <c r="C117">
        <v>1.2749999999999995</v>
      </c>
      <c r="D117">
        <v>0.48434879986001533</v>
      </c>
      <c r="E117">
        <v>0.90119637146207021</v>
      </c>
      <c r="F117">
        <v>89.427243824531431</v>
      </c>
      <c r="G117">
        <v>10.572756175468569</v>
      </c>
      <c r="H117">
        <v>0.96245342133136813</v>
      </c>
      <c r="I117">
        <v>0.11707787657335893</v>
      </c>
      <c r="J117">
        <v>-2197.357893683125</v>
      </c>
      <c r="K117">
        <v>2040.4131948482436</v>
      </c>
      <c r="L117">
        <v>6</v>
      </c>
    </row>
    <row r="118" spans="2:12">
      <c r="B118">
        <v>345.02</v>
      </c>
      <c r="C118">
        <v>1.2749999999999995</v>
      </c>
      <c r="D118">
        <v>0.45975946206282303</v>
      </c>
      <c r="E118">
        <v>0.88735370470911512</v>
      </c>
      <c r="F118">
        <v>81.713971208586088</v>
      </c>
      <c r="G118">
        <v>18.286028791413912</v>
      </c>
      <c r="H118">
        <v>0.90589083312222207</v>
      </c>
      <c r="I118">
        <v>0.14650874367058808</v>
      </c>
      <c r="J118">
        <v>-2255.2501404908512</v>
      </c>
      <c r="K118">
        <v>1861.8738229417393</v>
      </c>
      <c r="L118">
        <v>5</v>
      </c>
    </row>
    <row r="119" spans="2:12">
      <c r="B119">
        <v>346.78999999999996</v>
      </c>
      <c r="C119">
        <v>1.2749999999999995</v>
      </c>
      <c r="D119">
        <v>0.43916553807090153</v>
      </c>
      <c r="E119">
        <v>0.87495724129073127</v>
      </c>
      <c r="F119">
        <v>75.630504965990738</v>
      </c>
      <c r="G119">
        <v>24.369495034009262</v>
      </c>
      <c r="H119">
        <v>0.86040472666270262</v>
      </c>
      <c r="I119">
        <v>0.17219868610351743</v>
      </c>
      <c r="J119">
        <v>-2305.7837684295073</v>
      </c>
      <c r="K119">
        <v>1722.2755258796042</v>
      </c>
      <c r="L119">
        <v>5</v>
      </c>
    </row>
    <row r="120" spans="2:12">
      <c r="B120">
        <v>348.55999999999995</v>
      </c>
      <c r="C120">
        <v>1.2749999999999995</v>
      </c>
      <c r="D120">
        <v>0.42111066353655452</v>
      </c>
      <c r="E120">
        <v>0.86368762062457471</v>
      </c>
      <c r="F120">
        <v>70.553912256238732</v>
      </c>
      <c r="G120">
        <v>29.446087743761268</v>
      </c>
      <c r="H120">
        <v>0.82175001386763147</v>
      </c>
      <c r="I120">
        <v>0.19502230740462903</v>
      </c>
      <c r="J120">
        <v>-2350.6791740947529</v>
      </c>
      <c r="K120">
        <v>1605.5942320614524</v>
      </c>
      <c r="L120">
        <v>5</v>
      </c>
    </row>
    <row r="121" spans="2:12">
      <c r="B121">
        <v>350.32999999999993</v>
      </c>
      <c r="C121">
        <v>1.2749999999999995</v>
      </c>
      <c r="D121">
        <v>0.40469498386123054</v>
      </c>
      <c r="E121">
        <v>0.85326584012130746</v>
      </c>
      <c r="F121">
        <v>66.132873808015972</v>
      </c>
      <c r="G121">
        <v>33.867126191984028</v>
      </c>
      <c r="H121">
        <v>0.78753631715317551</v>
      </c>
      <c r="I121">
        <v>0.21564967614081226</v>
      </c>
      <c r="J121">
        <v>-2391.2544217734567</v>
      </c>
      <c r="K121">
        <v>1503.1562274737303</v>
      </c>
      <c r="L121">
        <v>5</v>
      </c>
    </row>
    <row r="122" spans="2:12">
      <c r="B122">
        <v>352.09999999999991</v>
      </c>
      <c r="C122">
        <v>1.2749999999999995</v>
      </c>
      <c r="D122">
        <v>0.38931948660226173</v>
      </c>
      <c r="E122">
        <v>0.84346667563327549</v>
      </c>
      <c r="F122">
        <v>62.150411207631038</v>
      </c>
      <c r="G122">
        <v>37.849588792368962</v>
      </c>
      <c r="H122">
        <v>0.75628933510765406</v>
      </c>
      <c r="I122">
        <v>0.23457884787094713</v>
      </c>
      <c r="J122">
        <v>-2428.4892160473219</v>
      </c>
      <c r="K122">
        <v>1409.778636797316</v>
      </c>
      <c r="L122">
        <v>5</v>
      </c>
    </row>
    <row r="123" spans="2:12">
      <c r="B123">
        <v>353.86999999999989</v>
      </c>
      <c r="C123">
        <v>1.2749999999999995</v>
      </c>
      <c r="D123">
        <v>0.37455373013973298</v>
      </c>
      <c r="E123">
        <v>0.83410624422161439</v>
      </c>
      <c r="F123">
        <v>58.461547270721063</v>
      </c>
      <c r="G123">
        <v>41.538452729278937</v>
      </c>
      <c r="H123">
        <v>0.72702516901492686</v>
      </c>
      <c r="I123">
        <v>0.25218827495683332</v>
      </c>
      <c r="J123">
        <v>-2463.1279949739123</v>
      </c>
      <c r="K123">
        <v>1322.0932014563066</v>
      </c>
      <c r="L123">
        <v>5</v>
      </c>
    </row>
    <row r="124" spans="2:12">
      <c r="B124">
        <v>355.63999999999987</v>
      </c>
      <c r="C124">
        <v>1.2749999999999995</v>
      </c>
      <c r="D124">
        <v>0.36006333033905913</v>
      </c>
      <c r="E124">
        <v>0.82502562476696539</v>
      </c>
      <c r="F124">
        <v>54.961955955501061</v>
      </c>
      <c r="G124">
        <v>45.038044044498939</v>
      </c>
      <c r="H124">
        <v>0.69903652115894643</v>
      </c>
      <c r="I124">
        <v>0.26878389222249544</v>
      </c>
      <c r="J124">
        <v>-2495.7725503482502</v>
      </c>
      <c r="K124">
        <v>1237.7452087926461</v>
      </c>
      <c r="L124">
        <v>5</v>
      </c>
    </row>
    <row r="125" spans="2:12">
      <c r="B125">
        <v>357.40999999999985</v>
      </c>
      <c r="C125">
        <v>1.2749999999999995</v>
      </c>
      <c r="D125">
        <v>0.34556846737235031</v>
      </c>
      <c r="E125">
        <v>0.81607411275314901</v>
      </c>
      <c r="F125">
        <v>51.570749368101026</v>
      </c>
      <c r="G125">
        <v>48.429250631898974</v>
      </c>
      <c r="H125">
        <v>0.67177538857655539</v>
      </c>
      <c r="I125">
        <v>0.28464246616734939</v>
      </c>
      <c r="J125">
        <v>-2526.9672981550684</v>
      </c>
      <c r="K125">
        <v>1154.9884224050702</v>
      </c>
      <c r="L125">
        <v>5</v>
      </c>
    </row>
    <row r="126" spans="2:12">
      <c r="B126">
        <v>359.17999999999984</v>
      </c>
      <c r="C126">
        <v>1.2749999999999995</v>
      </c>
      <c r="D126">
        <v>0.33082041941900919</v>
      </c>
      <c r="E126">
        <v>0.80709008456368014</v>
      </c>
      <c r="F126">
        <v>48.220026625437633</v>
      </c>
      <c r="G126">
        <v>51.779973374562367</v>
      </c>
      <c r="H126">
        <v>0.64478195240588942</v>
      </c>
      <c r="I126">
        <v>0.3000609232437883</v>
      </c>
      <c r="J126">
        <v>-2557.2963101924875</v>
      </c>
      <c r="K126">
        <v>1072.484871249105</v>
      </c>
      <c r="L126">
        <v>5</v>
      </c>
    </row>
    <row r="127" spans="2:12">
      <c r="B127">
        <v>360.94999999999982</v>
      </c>
      <c r="C127">
        <v>1.2749999999999995</v>
      </c>
      <c r="D127">
        <v>0.31559260808759715</v>
      </c>
      <c r="E127">
        <v>0.79787531580426563</v>
      </c>
      <c r="F127">
        <v>44.847780631536459</v>
      </c>
      <c r="G127">
        <v>55.152219368463541</v>
      </c>
      <c r="H127">
        <v>0.61763631794831308</v>
      </c>
      <c r="I127">
        <v>0.31542637080221547</v>
      </c>
      <c r="J127">
        <v>-2587.5210493897698</v>
      </c>
      <c r="K127">
        <v>989.24085841371857</v>
      </c>
      <c r="L127">
        <v>5</v>
      </c>
    </row>
    <row r="128" spans="2:12">
      <c r="B128">
        <v>362.7199999999998</v>
      </c>
      <c r="C128">
        <v>1.2749999999999995</v>
      </c>
      <c r="D128">
        <v>0.29969005197726917</v>
      </c>
      <c r="E128">
        <v>0.78815657802296191</v>
      </c>
      <c r="F128">
        <v>41.392356534864177</v>
      </c>
      <c r="G128">
        <v>58.607643465135823</v>
      </c>
      <c r="H128">
        <v>0.58992082908053112</v>
      </c>
      <c r="I128">
        <v>0.3313296067331718</v>
      </c>
      <c r="J128">
        <v>-2618.8036499504274</v>
      </c>
      <c r="K128">
        <v>904.67271550704766</v>
      </c>
      <c r="L128">
        <v>5</v>
      </c>
    </row>
    <row r="129" spans="2:12">
      <c r="B129">
        <v>364.48999999999978</v>
      </c>
      <c r="C129">
        <v>1.2749999999999995</v>
      </c>
      <c r="D129">
        <v>0.28298851219560034</v>
      </c>
      <c r="E129">
        <v>0.77752766431942555</v>
      </c>
      <c r="F129">
        <v>37.787208981589885</v>
      </c>
      <c r="G129">
        <v>62.212791018410115</v>
      </c>
      <c r="H129">
        <v>0.5611844140702873</v>
      </c>
      <c r="I129">
        <v>0.34875365264788982</v>
      </c>
      <c r="J129">
        <v>-2653.0777732085553</v>
      </c>
      <c r="K129">
        <v>818.82862402235617</v>
      </c>
      <c r="L129">
        <v>5</v>
      </c>
    </row>
    <row r="130" spans="2:12">
      <c r="B130">
        <v>366.25999999999976</v>
      </c>
      <c r="C130">
        <v>1.2749999999999995</v>
      </c>
      <c r="D130">
        <v>0.2655191958820492</v>
      </c>
      <c r="E130">
        <v>0.76537392807629323</v>
      </c>
      <c r="F130">
        <v>33.954950785234679</v>
      </c>
      <c r="G130">
        <v>66.045049214765328</v>
      </c>
      <c r="H130">
        <v>0.53090210211947875</v>
      </c>
      <c r="I130">
        <v>0.36935945592280778</v>
      </c>
      <c r="J130">
        <v>-2693.6106003563937</v>
      </c>
      <c r="K130">
        <v>732.78138721581502</v>
      </c>
      <c r="L130">
        <v>5</v>
      </c>
    </row>
    <row r="131" spans="2:12">
      <c r="B131">
        <v>368.02999999999975</v>
      </c>
      <c r="C131">
        <v>1.2749999999999995</v>
      </c>
      <c r="D131">
        <v>0.247595020594022</v>
      </c>
      <c r="E131">
        <v>0.75081606958664937</v>
      </c>
      <c r="F131">
        <v>29.79944882120985</v>
      </c>
      <c r="G131">
        <v>70.20055117879015</v>
      </c>
      <c r="H131">
        <v>0.49842126057474206</v>
      </c>
      <c r="I131">
        <v>0.39581796272649306</v>
      </c>
      <c r="J131">
        <v>-2745.6560396219961</v>
      </c>
      <c r="K131">
        <v>649.05690882441775</v>
      </c>
      <c r="L131">
        <v>5</v>
      </c>
    </row>
    <row r="132" spans="2:12">
      <c r="B132">
        <v>369.79999999999973</v>
      </c>
      <c r="C132">
        <v>1.2749999999999995</v>
      </c>
      <c r="D132">
        <v>0.22989956408843037</v>
      </c>
      <c r="E132">
        <v>0.73277090762520969</v>
      </c>
      <c r="F132">
        <v>25.194378710646351</v>
      </c>
      <c r="G132">
        <v>74.805621289353653</v>
      </c>
      <c r="H132">
        <v>0.46288361947231371</v>
      </c>
      <c r="I132">
        <v>0.43197747329760572</v>
      </c>
      <c r="J132">
        <v>-2816.7839239454083</v>
      </c>
      <c r="K132">
        <v>571.6374533396795</v>
      </c>
      <c r="L132">
        <v>5</v>
      </c>
    </row>
    <row r="133" spans="2:12">
      <c r="B133">
        <v>371.56999999999971</v>
      </c>
      <c r="C133">
        <v>1.2749999999999995</v>
      </c>
      <c r="D133">
        <v>0.2133772132869044</v>
      </c>
      <c r="E133">
        <v>0.71020776030666699</v>
      </c>
      <c r="F133">
        <v>19.964431632665146</v>
      </c>
      <c r="G133">
        <v>80.035568367334861</v>
      </c>
      <c r="H133">
        <v>0.42309749585164991</v>
      </c>
      <c r="I133">
        <v>0.48264391376843974</v>
      </c>
      <c r="J133">
        <v>-2916.4477927303901</v>
      </c>
      <c r="K133">
        <v>504.99532539028644</v>
      </c>
      <c r="L133">
        <v>4</v>
      </c>
    </row>
    <row r="134" spans="2:12">
      <c r="B134">
        <v>373.33999999999969</v>
      </c>
      <c r="C134">
        <v>1.2749999999999995</v>
      </c>
      <c r="D134">
        <v>0.19889924483751031</v>
      </c>
      <c r="E134">
        <v>0.68245888686060119</v>
      </c>
      <c r="F134">
        <v>13.853983946461856</v>
      </c>
      <c r="G134">
        <v>86.146016053538148</v>
      </c>
      <c r="H134">
        <v>0.37732447252471168</v>
      </c>
      <c r="I134">
        <v>0.55327428074864704</v>
      </c>
      <c r="J134">
        <v>-3055.3818793079272</v>
      </c>
      <c r="K134">
        <v>452.59817446122196</v>
      </c>
      <c r="L134">
        <v>4</v>
      </c>
    </row>
    <row r="135" spans="2:12">
      <c r="B135">
        <v>375.10999999999967</v>
      </c>
      <c r="C135">
        <v>1.2749999999999995</v>
      </c>
      <c r="D135">
        <v>0.18697405548660673</v>
      </c>
      <c r="E135">
        <v>0.64927277349996038</v>
      </c>
      <c r="F135">
        <v>6.4702315254729461</v>
      </c>
      <c r="G135">
        <v>93.52976847452706</v>
      </c>
      <c r="H135">
        <v>0.32289246689117701</v>
      </c>
      <c r="I135">
        <v>0.65050413246301286</v>
      </c>
      <c r="J135">
        <v>-3246.6387170331268</v>
      </c>
      <c r="K135">
        <v>416.32922863824649</v>
      </c>
      <c r="L135">
        <v>4</v>
      </c>
    </row>
    <row r="136" spans="2:12">
      <c r="B136">
        <v>376.87999999999965</v>
      </c>
      <c r="C136">
        <v>1.2749999999999995</v>
      </c>
      <c r="D136">
        <v>0.17773651248948641</v>
      </c>
      <c r="E136">
        <v>0.61057074968195024</v>
      </c>
      <c r="F136">
        <v>-2.8253287036716666</v>
      </c>
      <c r="G136">
        <v>102.82532870367167</v>
      </c>
      <c r="H136">
        <v>0.25545749430349218</v>
      </c>
      <c r="I136">
        <v>0.78420148211870622</v>
      </c>
      <c r="J136">
        <v>-3509.6292683558554</v>
      </c>
      <c r="K136">
        <v>397.44159454445276</v>
      </c>
      <c r="L136">
        <v>4</v>
      </c>
    </row>
    <row r="137" spans="2:12">
      <c r="B137">
        <v>341.48</v>
      </c>
      <c r="C137">
        <v>1.2899999999999994</v>
      </c>
      <c r="D137">
        <v>0.51543047203602788</v>
      </c>
      <c r="E137">
        <v>0.91634214911121836</v>
      </c>
      <c r="F137">
        <v>100</v>
      </c>
      <c r="G137">
        <v>0</v>
      </c>
      <c r="H137">
        <v>1.0384884574792115</v>
      </c>
      <c r="I137">
        <v>8.3953281516589734E-2</v>
      </c>
      <c r="J137">
        <v>-2132.1998667008684</v>
      </c>
      <c r="K137">
        <v>2293.0816189639722</v>
      </c>
      <c r="L137">
        <v>6</v>
      </c>
    </row>
    <row r="138" spans="2:12">
      <c r="B138">
        <v>343.25</v>
      </c>
      <c r="C138">
        <v>1.2899999999999994</v>
      </c>
      <c r="D138">
        <v>0.4843687439649334</v>
      </c>
      <c r="E138">
        <v>0.90068513255044502</v>
      </c>
      <c r="F138">
        <v>89.427243824531431</v>
      </c>
      <c r="G138">
        <v>10.572756175468569</v>
      </c>
      <c r="H138">
        <v>0.96245342133136813</v>
      </c>
      <c r="I138">
        <v>0.11845526335657491</v>
      </c>
      <c r="J138">
        <v>-2200.067294508463</v>
      </c>
      <c r="K138">
        <v>2043.1225956735816</v>
      </c>
      <c r="L138">
        <v>6</v>
      </c>
    </row>
    <row r="139" spans="2:12">
      <c r="B139">
        <v>345.02</v>
      </c>
      <c r="C139">
        <v>1.2899999999999994</v>
      </c>
      <c r="D139">
        <v>0.45982526071851615</v>
      </c>
      <c r="E139">
        <v>0.8867203296511722</v>
      </c>
      <c r="F139">
        <v>81.713971208586088</v>
      </c>
      <c r="G139">
        <v>18.286028791413912</v>
      </c>
      <c r="H139">
        <v>0.90589083312222207</v>
      </c>
      <c r="I139">
        <v>0.14823237594906558</v>
      </c>
      <c r="J139">
        <v>-2258.6406265727505</v>
      </c>
      <c r="K139">
        <v>1865.2643090236386</v>
      </c>
      <c r="L139">
        <v>5</v>
      </c>
    </row>
    <row r="140" spans="2:12">
      <c r="B140">
        <v>346.78999999999996</v>
      </c>
      <c r="C140">
        <v>1.2899999999999994</v>
      </c>
      <c r="D140">
        <v>0.43928465563787972</v>
      </c>
      <c r="E140">
        <v>0.87422305226551278</v>
      </c>
      <c r="F140">
        <v>75.630504965990738</v>
      </c>
      <c r="G140">
        <v>24.369495034009262</v>
      </c>
      <c r="H140">
        <v>0.86040472666270262</v>
      </c>
      <c r="I140">
        <v>0.17422455299885292</v>
      </c>
      <c r="J140">
        <v>-2309.7687677812733</v>
      </c>
      <c r="K140">
        <v>1726.2605252313704</v>
      </c>
      <c r="L140">
        <v>5</v>
      </c>
    </row>
    <row r="141" spans="2:12">
      <c r="B141">
        <v>348.55999999999995</v>
      </c>
      <c r="C141">
        <v>1.2899999999999994</v>
      </c>
      <c r="D141">
        <v>0.42128827911601158</v>
      </c>
      <c r="E141">
        <v>0.86286879528804128</v>
      </c>
      <c r="F141">
        <v>70.553912256238732</v>
      </c>
      <c r="G141">
        <v>29.446087743761268</v>
      </c>
      <c r="H141">
        <v>0.82175001386763147</v>
      </c>
      <c r="I141">
        <v>0.19731668749174228</v>
      </c>
      <c r="J141">
        <v>-2355.1923546896392</v>
      </c>
      <c r="K141">
        <v>1610.1074126563387</v>
      </c>
      <c r="L141">
        <v>5</v>
      </c>
    </row>
    <row r="142" spans="2:12">
      <c r="B142">
        <v>350.32999999999993</v>
      </c>
      <c r="C142">
        <v>1.2899999999999994</v>
      </c>
      <c r="D142">
        <v>0.40493540200557548</v>
      </c>
      <c r="E142">
        <v>0.8523746853722356</v>
      </c>
      <c r="F142">
        <v>66.132873808015972</v>
      </c>
      <c r="G142">
        <v>33.867126191984028</v>
      </c>
      <c r="H142">
        <v>0.78753631715317551</v>
      </c>
      <c r="I142">
        <v>0.21818673115423357</v>
      </c>
      <c r="J142">
        <v>-2396.2449582233867</v>
      </c>
      <c r="K142">
        <v>1508.14676392366</v>
      </c>
      <c r="L142">
        <v>5</v>
      </c>
    </row>
    <row r="143" spans="2:12">
      <c r="B143">
        <v>352.09999999999991</v>
      </c>
      <c r="C143">
        <v>1.2899999999999994</v>
      </c>
      <c r="D143">
        <v>0.38962689611018475</v>
      </c>
      <c r="E143">
        <v>0.84251271437575082</v>
      </c>
      <c r="F143">
        <v>62.150411207631038</v>
      </c>
      <c r="G143">
        <v>37.849588792368962</v>
      </c>
      <c r="H143">
        <v>0.75628933510765406</v>
      </c>
      <c r="I143">
        <v>0.23733859902237003</v>
      </c>
      <c r="J143">
        <v>-2433.917808900474</v>
      </c>
      <c r="K143">
        <v>1415.207229650468</v>
      </c>
      <c r="L143">
        <v>5</v>
      </c>
    </row>
    <row r="144" spans="2:12">
      <c r="B144">
        <v>353.86999999999989</v>
      </c>
      <c r="C144">
        <v>1.2899999999999994</v>
      </c>
      <c r="D144">
        <v>0.37493267190126317</v>
      </c>
      <c r="E144">
        <v>0.83309699293925576</v>
      </c>
      <c r="F144">
        <v>58.461547270721063</v>
      </c>
      <c r="G144">
        <v>41.538452729278937</v>
      </c>
      <c r="H144">
        <v>0.72702516901492686</v>
      </c>
      <c r="I144">
        <v>0.25515519583867841</v>
      </c>
      <c r="J144">
        <v>-2468.9641028732594</v>
      </c>
      <c r="K144">
        <v>1327.9293093556537</v>
      </c>
      <c r="L144">
        <v>5</v>
      </c>
    </row>
    <row r="145" spans="2:12">
      <c r="B145">
        <v>355.63999999999987</v>
      </c>
      <c r="C145">
        <v>1.2899999999999994</v>
      </c>
      <c r="D145">
        <v>0.36051905697204822</v>
      </c>
      <c r="E145">
        <v>0.82396712570471731</v>
      </c>
      <c r="F145">
        <v>54.961955955501061</v>
      </c>
      <c r="G145">
        <v>45.038044044498939</v>
      </c>
      <c r="H145">
        <v>0.69903652115894643</v>
      </c>
      <c r="I145">
        <v>0.27194605566040714</v>
      </c>
      <c r="J145">
        <v>-2501.9927118402366</v>
      </c>
      <c r="K145">
        <v>1243.9653702846324</v>
      </c>
      <c r="L145">
        <v>5</v>
      </c>
    </row>
    <row r="146" spans="2:12">
      <c r="B146">
        <v>357.40999999999985</v>
      </c>
      <c r="C146">
        <v>1.2899999999999994</v>
      </c>
      <c r="D146">
        <v>0.346107296570979</v>
      </c>
      <c r="E146">
        <v>0.8149712941902284</v>
      </c>
      <c r="F146">
        <v>51.570749368101026</v>
      </c>
      <c r="G146">
        <v>48.429250631898974</v>
      </c>
      <c r="H146">
        <v>0.67177538857655539</v>
      </c>
      <c r="I146">
        <v>0.28799120106343584</v>
      </c>
      <c r="J146">
        <v>-2533.5544566800763</v>
      </c>
      <c r="K146">
        <v>1161.5755809300779</v>
      </c>
      <c r="L146">
        <v>5</v>
      </c>
    </row>
    <row r="147" spans="2:12">
      <c r="B147">
        <v>359.17999999999984</v>
      </c>
      <c r="C147">
        <v>1.2899999999999994</v>
      </c>
      <c r="D147">
        <v>0.33145015651389553</v>
      </c>
      <c r="E147">
        <v>0.80594700324702573</v>
      </c>
      <c r="F147">
        <v>48.220026625437633</v>
      </c>
      <c r="G147">
        <v>51.779973374562367</v>
      </c>
      <c r="H147">
        <v>0.64478195240588942</v>
      </c>
      <c r="I147">
        <v>0.30359105175253875</v>
      </c>
      <c r="J147">
        <v>-2564.2402806238174</v>
      </c>
      <c r="K147">
        <v>1079.4288416804354</v>
      </c>
      <c r="L147">
        <v>5</v>
      </c>
    </row>
    <row r="148" spans="2:12">
      <c r="B148">
        <v>360.94999999999982</v>
      </c>
      <c r="C148">
        <v>1.2899999999999994</v>
      </c>
      <c r="D148">
        <v>0.31632311236278321</v>
      </c>
      <c r="E148">
        <v>0.79669532410539279</v>
      </c>
      <c r="F148">
        <v>44.847780631536459</v>
      </c>
      <c r="G148">
        <v>55.152219368463541</v>
      </c>
      <c r="H148">
        <v>0.61763631794831308</v>
      </c>
      <c r="I148">
        <v>0.31913726928224151</v>
      </c>
      <c r="J148">
        <v>-2594.8206049881269</v>
      </c>
      <c r="K148">
        <v>996.54041401207564</v>
      </c>
      <c r="L148">
        <v>5</v>
      </c>
    </row>
    <row r="149" spans="2:12">
      <c r="B149">
        <v>362.7199999999998</v>
      </c>
      <c r="C149">
        <v>1.2899999999999994</v>
      </c>
      <c r="D149">
        <v>0.30053403249358801</v>
      </c>
      <c r="E149">
        <v>0.78694246689218117</v>
      </c>
      <c r="F149">
        <v>41.392356534864177</v>
      </c>
      <c r="G149">
        <v>58.607643465135823</v>
      </c>
      <c r="H149">
        <v>0.58992082908053112</v>
      </c>
      <c r="I149">
        <v>0.33522760210650321</v>
      </c>
      <c r="J149">
        <v>-2626.4712361436159</v>
      </c>
      <c r="K149">
        <v>912.34030170023607</v>
      </c>
      <c r="L149">
        <v>5</v>
      </c>
    </row>
    <row r="150" spans="2:12">
      <c r="B150">
        <v>364.48999999999978</v>
      </c>
      <c r="C150">
        <v>1.2899999999999994</v>
      </c>
      <c r="D150">
        <v>0.28396264207053767</v>
      </c>
      <c r="E150">
        <v>0.77628188700288625</v>
      </c>
      <c r="F150">
        <v>37.787208981589885</v>
      </c>
      <c r="G150">
        <v>62.212791018410115</v>
      </c>
      <c r="H150">
        <v>0.5611844140702873</v>
      </c>
      <c r="I150">
        <v>0.35285663679668849</v>
      </c>
      <c r="J150">
        <v>-2661.1485843812511</v>
      </c>
      <c r="K150">
        <v>826.89943519505198</v>
      </c>
      <c r="L150">
        <v>5</v>
      </c>
    </row>
    <row r="151" spans="2:12">
      <c r="B151">
        <v>366.25999999999976</v>
      </c>
      <c r="C151">
        <v>1.2899999999999994</v>
      </c>
      <c r="D151">
        <v>0.26664555703682663</v>
      </c>
      <c r="E151">
        <v>0.76409916750388629</v>
      </c>
      <c r="F151">
        <v>33.954950785234679</v>
      </c>
      <c r="G151">
        <v>66.045049214765328</v>
      </c>
      <c r="H151">
        <v>0.53090210211947875</v>
      </c>
      <c r="I151">
        <v>0.37370486128660552</v>
      </c>
      <c r="J151">
        <v>-2702.1582683190641</v>
      </c>
      <c r="K151">
        <v>741.32905517848531</v>
      </c>
      <c r="L151">
        <v>5</v>
      </c>
    </row>
    <row r="152" spans="2:12">
      <c r="B152">
        <v>368.02999999999975</v>
      </c>
      <c r="C152">
        <v>1.2899999999999994</v>
      </c>
      <c r="D152">
        <v>0.2489025910211336</v>
      </c>
      <c r="E152">
        <v>0.74951673042144074</v>
      </c>
      <c r="F152">
        <v>29.79944882120985</v>
      </c>
      <c r="G152">
        <v>70.20055117879015</v>
      </c>
      <c r="H152">
        <v>0.49842126057474206</v>
      </c>
      <c r="I152">
        <v>0.40047464464092236</v>
      </c>
      <c r="J152">
        <v>-2754.8160068701441</v>
      </c>
      <c r="K152">
        <v>658.21687607256581</v>
      </c>
      <c r="L152">
        <v>5</v>
      </c>
    </row>
    <row r="153" spans="2:12">
      <c r="B153">
        <v>369.79999999999973</v>
      </c>
      <c r="C153">
        <v>1.2899999999999994</v>
      </c>
      <c r="D153">
        <v>0.2314248538981592</v>
      </c>
      <c r="E153">
        <v>0.73145642217388551</v>
      </c>
      <c r="F153">
        <v>25.194378710646351</v>
      </c>
      <c r="G153">
        <v>74.805621289353653</v>
      </c>
      <c r="H153">
        <v>0.46288361947231371</v>
      </c>
      <c r="I153">
        <v>0.437059561218754</v>
      </c>
      <c r="J153">
        <v>-2826.7806898326553</v>
      </c>
      <c r="K153">
        <v>581.63421922692646</v>
      </c>
      <c r="L153">
        <v>5</v>
      </c>
    </row>
    <row r="154" spans="2:12">
      <c r="B154">
        <v>371.56999999999971</v>
      </c>
      <c r="C154">
        <v>1.2899999999999994</v>
      </c>
      <c r="D154">
        <v>0.21516287945899137</v>
      </c>
      <c r="E154">
        <v>0.70889816140493855</v>
      </c>
      <c r="F154">
        <v>19.964431632665146</v>
      </c>
      <c r="G154">
        <v>80.035568367334861</v>
      </c>
      <c r="H154">
        <v>0.42309749585164991</v>
      </c>
      <c r="I154">
        <v>0.48832207745983308</v>
      </c>
      <c r="J154">
        <v>-2927.6170747209894</v>
      </c>
      <c r="K154">
        <v>516.1646073808862</v>
      </c>
      <c r="L154">
        <v>4</v>
      </c>
    </row>
    <row r="155" spans="2:12">
      <c r="B155">
        <v>373.33999999999969</v>
      </c>
      <c r="C155">
        <v>1.2899999999999994</v>
      </c>
      <c r="D155">
        <v>0.20099067717911967</v>
      </c>
      <c r="E155">
        <v>0.68119153561537304</v>
      </c>
      <c r="F155">
        <v>13.853983946461856</v>
      </c>
      <c r="G155">
        <v>86.146016053538148</v>
      </c>
      <c r="H155">
        <v>0.37732447252471168</v>
      </c>
      <c r="I155">
        <v>0.55978338993392529</v>
      </c>
      <c r="J155">
        <v>-3068.185679964145</v>
      </c>
      <c r="K155">
        <v>465.4019751174398</v>
      </c>
      <c r="L155">
        <v>4</v>
      </c>
    </row>
    <row r="156" spans="2:12">
      <c r="B156">
        <v>375.10999999999967</v>
      </c>
      <c r="C156">
        <v>1.2899999999999994</v>
      </c>
      <c r="D156">
        <v>0.18941591406849512</v>
      </c>
      <c r="E156">
        <v>0.64810832368548954</v>
      </c>
      <c r="F156">
        <v>6.4702315254729461</v>
      </c>
      <c r="G156">
        <v>93.52976847452706</v>
      </c>
      <c r="H156">
        <v>0.32289246689117701</v>
      </c>
      <c r="I156">
        <v>0.65815712225669531</v>
      </c>
      <c r="J156">
        <v>-3261.6925981331701</v>
      </c>
      <c r="K156">
        <v>431.38310973829016</v>
      </c>
      <c r="L156">
        <v>4</v>
      </c>
    </row>
    <row r="157" spans="2:12">
      <c r="B157">
        <v>376.87999999999965</v>
      </c>
      <c r="C157">
        <v>1.2899999999999994</v>
      </c>
      <c r="D157">
        <v>0.18057111398776254</v>
      </c>
      <c r="E157">
        <v>0.60959817902203717</v>
      </c>
      <c r="F157">
        <v>-2.8253287036716666</v>
      </c>
      <c r="G157">
        <v>102.82532870367167</v>
      </c>
      <c r="H157">
        <v>0.25545749430349218</v>
      </c>
      <c r="I157">
        <v>0.79342738190833795</v>
      </c>
      <c r="J157">
        <v>-3527.7771559420485</v>
      </c>
      <c r="K157">
        <v>415.58948213064576</v>
      </c>
      <c r="L157">
        <v>4</v>
      </c>
    </row>
    <row r="158" spans="2:12">
      <c r="B158">
        <v>341.48</v>
      </c>
      <c r="C158">
        <v>1.3049999999999993</v>
      </c>
      <c r="D158">
        <v>0.51541706363218087</v>
      </c>
      <c r="E158">
        <v>0.91598036603285671</v>
      </c>
      <c r="F158">
        <v>100</v>
      </c>
      <c r="G158">
        <v>0</v>
      </c>
      <c r="H158">
        <v>1.0384884574792115</v>
      </c>
      <c r="I158">
        <v>8.4929482464457043E-2</v>
      </c>
      <c r="J158">
        <v>-2134.1201113889088</v>
      </c>
      <c r="K158">
        <v>2295.0018636520126</v>
      </c>
      <c r="L158">
        <v>6</v>
      </c>
    </row>
    <row r="159" spans="2:12">
      <c r="B159">
        <v>343.25</v>
      </c>
      <c r="C159">
        <v>1.3049999999999993</v>
      </c>
      <c r="D159">
        <v>0.48438863730555309</v>
      </c>
      <c r="E159">
        <v>0.90017519490978415</v>
      </c>
      <c r="F159">
        <v>89.427243824531431</v>
      </c>
      <c r="G159">
        <v>10.572756175468569</v>
      </c>
      <c r="H159">
        <v>0.96245342133136813</v>
      </c>
      <c r="I159">
        <v>0.11983265013979089</v>
      </c>
      <c r="J159">
        <v>-2202.7766953338005</v>
      </c>
      <c r="K159">
        <v>2045.8319964989194</v>
      </c>
      <c r="L159">
        <v>6</v>
      </c>
    </row>
    <row r="160" spans="2:12">
      <c r="B160">
        <v>345.02</v>
      </c>
      <c r="C160">
        <v>1.3049999999999993</v>
      </c>
      <c r="D160">
        <v>0.45989084454629603</v>
      </c>
      <c r="E160">
        <v>0.88608902251757493</v>
      </c>
      <c r="F160">
        <v>81.713971208586088</v>
      </c>
      <c r="G160">
        <v>18.286028791413912</v>
      </c>
      <c r="H160">
        <v>0.90589083312222207</v>
      </c>
      <c r="I160">
        <v>0.14995600822754307</v>
      </c>
      <c r="J160">
        <v>-2262.0311126546494</v>
      </c>
      <c r="K160">
        <v>1868.6547951055377</v>
      </c>
      <c r="L160">
        <v>5</v>
      </c>
    </row>
    <row r="161" spans="2:12">
      <c r="B161">
        <v>346.78999999999996</v>
      </c>
      <c r="C161">
        <v>1.3049999999999993</v>
      </c>
      <c r="D161">
        <v>0.43940330763762198</v>
      </c>
      <c r="E161">
        <v>0.87349173279483427</v>
      </c>
      <c r="F161">
        <v>75.630504965990738</v>
      </c>
      <c r="G161">
        <v>24.369495034009262</v>
      </c>
      <c r="H161">
        <v>0.86040472666270262</v>
      </c>
      <c r="I161">
        <v>0.17625041989418841</v>
      </c>
      <c r="J161">
        <v>-2313.7537671330392</v>
      </c>
      <c r="K161">
        <v>1730.2455245831361</v>
      </c>
      <c r="L161">
        <v>5</v>
      </c>
    </row>
    <row r="162" spans="2:12">
      <c r="B162">
        <v>348.55999999999995</v>
      </c>
      <c r="C162">
        <v>1.3049999999999993</v>
      </c>
      <c r="D162">
        <v>0.42146509670608739</v>
      </c>
      <c r="E162">
        <v>0.86205364876124735</v>
      </c>
      <c r="F162">
        <v>70.553912256238732</v>
      </c>
      <c r="G162">
        <v>29.446087743761268</v>
      </c>
      <c r="H162">
        <v>0.82175001386763147</v>
      </c>
      <c r="I162">
        <v>0.19961106757885555</v>
      </c>
      <c r="J162">
        <v>-2359.7055352845255</v>
      </c>
      <c r="K162">
        <v>1614.6205932512248</v>
      </c>
      <c r="L162">
        <v>5</v>
      </c>
    </row>
    <row r="163" spans="2:12">
      <c r="B163">
        <v>350.32999999999993</v>
      </c>
      <c r="C163">
        <v>1.3049999999999993</v>
      </c>
      <c r="D163">
        <v>0.40517461023581913</v>
      </c>
      <c r="E163">
        <v>0.85148801539572661</v>
      </c>
      <c r="F163">
        <v>66.132873808015972</v>
      </c>
      <c r="G163">
        <v>33.867126191984028</v>
      </c>
      <c r="H163">
        <v>0.78753631715317551</v>
      </c>
      <c r="I163">
        <v>0.22072378616765487</v>
      </c>
      <c r="J163">
        <v>-2401.2354946733167</v>
      </c>
      <c r="K163">
        <v>1513.1373003735903</v>
      </c>
      <c r="L163">
        <v>5</v>
      </c>
    </row>
    <row r="164" spans="2:12">
      <c r="B164">
        <v>352.09999999999991</v>
      </c>
      <c r="C164">
        <v>1.3049999999999993</v>
      </c>
      <c r="D164">
        <v>0.38993260271921415</v>
      </c>
      <c r="E164">
        <v>0.84156403759879084</v>
      </c>
      <c r="F164">
        <v>62.150411207631038</v>
      </c>
      <c r="G164">
        <v>37.849588792368962</v>
      </c>
      <c r="H164">
        <v>0.75628933510765406</v>
      </c>
      <c r="I164">
        <v>0.24009835017379291</v>
      </c>
      <c r="J164">
        <v>-2439.3464017536257</v>
      </c>
      <c r="K164">
        <v>1420.6358225036197</v>
      </c>
      <c r="L164">
        <v>5</v>
      </c>
    </row>
    <row r="165" spans="2:12">
      <c r="B165">
        <v>353.86999999999989</v>
      </c>
      <c r="C165">
        <v>1.3049999999999993</v>
      </c>
      <c r="D165">
        <v>0.37530933118129728</v>
      </c>
      <c r="E165">
        <v>0.83209382068436455</v>
      </c>
      <c r="F165">
        <v>58.461547270721063</v>
      </c>
      <c r="G165">
        <v>41.538452729278937</v>
      </c>
      <c r="H165">
        <v>0.72702516901492686</v>
      </c>
      <c r="I165">
        <v>0.25812211672052349</v>
      </c>
      <c r="J165">
        <v>-2474.8002107726065</v>
      </c>
      <c r="K165">
        <v>1333.7654172550008</v>
      </c>
      <c r="L165">
        <v>5</v>
      </c>
    </row>
    <row r="166" spans="2:12">
      <c r="B166">
        <v>355.63999999999987</v>
      </c>
      <c r="C166">
        <v>1.3049999999999993</v>
      </c>
      <c r="D166">
        <v>0.36097182494389185</v>
      </c>
      <c r="E166">
        <v>0.82291549861312285</v>
      </c>
      <c r="F166">
        <v>54.961955955501061</v>
      </c>
      <c r="G166">
        <v>45.038044044498939</v>
      </c>
      <c r="H166">
        <v>0.69903652115894643</v>
      </c>
      <c r="I166">
        <v>0.27510821909831884</v>
      </c>
      <c r="J166">
        <v>-2508.2128733322224</v>
      </c>
      <c r="K166">
        <v>1250.1855317766187</v>
      </c>
      <c r="L166">
        <v>5</v>
      </c>
    </row>
    <row r="167" spans="2:12">
      <c r="B167">
        <v>357.40999999999985</v>
      </c>
      <c r="C167">
        <v>1.3049999999999993</v>
      </c>
      <c r="D167">
        <v>0.34664237877047999</v>
      </c>
      <c r="E167">
        <v>0.81387614458846247</v>
      </c>
      <c r="F167">
        <v>51.570749368101026</v>
      </c>
      <c r="G167">
        <v>48.429250631898974</v>
      </c>
      <c r="H167">
        <v>0.67177538857655539</v>
      </c>
      <c r="I167">
        <v>0.29133993595952229</v>
      </c>
      <c r="J167">
        <v>-2540.1416152050842</v>
      </c>
      <c r="K167">
        <v>1168.1627394550856</v>
      </c>
      <c r="L167">
        <v>5</v>
      </c>
    </row>
    <row r="168" spans="2:12">
      <c r="B168">
        <v>359.17999999999984</v>
      </c>
      <c r="C168">
        <v>1.3049999999999993</v>
      </c>
      <c r="D168">
        <v>0.33207522285438396</v>
      </c>
      <c r="E168">
        <v>0.80481240015426891</v>
      </c>
      <c r="F168">
        <v>48.220026625437633</v>
      </c>
      <c r="G168">
        <v>51.779973374562367</v>
      </c>
      <c r="H168">
        <v>0.64478195240588942</v>
      </c>
      <c r="I168">
        <v>0.30712118026128921</v>
      </c>
      <c r="J168">
        <v>-2571.1842510551478</v>
      </c>
      <c r="K168">
        <v>1086.3728121117658</v>
      </c>
      <c r="L168">
        <v>5</v>
      </c>
    </row>
    <row r="169" spans="2:12">
      <c r="B169">
        <v>360.94999999999982</v>
      </c>
      <c r="C169">
        <v>1.3049999999999993</v>
      </c>
      <c r="D169">
        <v>0.3170478518917228</v>
      </c>
      <c r="E169">
        <v>0.79552464426539349</v>
      </c>
      <c r="F169">
        <v>44.847780631536459</v>
      </c>
      <c r="G169">
        <v>55.152219368463541</v>
      </c>
      <c r="H169">
        <v>0.61763631794831308</v>
      </c>
      <c r="I169">
        <v>0.32284816776226755</v>
      </c>
      <c r="J169">
        <v>-2602.120160586484</v>
      </c>
      <c r="K169">
        <v>1003.8399696104328</v>
      </c>
      <c r="L169">
        <v>5</v>
      </c>
    </row>
    <row r="170" spans="2:12">
      <c r="B170">
        <v>362.7199999999998</v>
      </c>
      <c r="C170">
        <v>1.3049999999999993</v>
      </c>
      <c r="D170">
        <v>0.30137093084037547</v>
      </c>
      <c r="E170">
        <v>0.78573854384121045</v>
      </c>
      <c r="F170">
        <v>41.392356534864177</v>
      </c>
      <c r="G170">
        <v>58.607643465135823</v>
      </c>
      <c r="H170">
        <v>0.58992082908053112</v>
      </c>
      <c r="I170">
        <v>0.33912559747983462</v>
      </c>
      <c r="J170">
        <v>-2634.1388223368044</v>
      </c>
      <c r="K170">
        <v>920.00788789342437</v>
      </c>
      <c r="L170">
        <v>5</v>
      </c>
    </row>
    <row r="171" spans="2:12">
      <c r="B171">
        <v>364.48999999999978</v>
      </c>
      <c r="C171">
        <v>1.3049999999999993</v>
      </c>
      <c r="D171">
        <v>0.28492806560031936</v>
      </c>
      <c r="E171">
        <v>0.77504724389707602</v>
      </c>
      <c r="F171">
        <v>37.787208981589885</v>
      </c>
      <c r="G171">
        <v>62.212791018410115</v>
      </c>
      <c r="H171">
        <v>0.5611844140702873</v>
      </c>
      <c r="I171">
        <v>0.35695962094548717</v>
      </c>
      <c r="J171">
        <v>-2669.2193955539469</v>
      </c>
      <c r="K171">
        <v>834.97024636774756</v>
      </c>
      <c r="L171">
        <v>5</v>
      </c>
    </row>
    <row r="172" spans="2:12">
      <c r="B172">
        <v>366.25999999999976</v>
      </c>
      <c r="C172">
        <v>1.3049999999999993</v>
      </c>
      <c r="D172">
        <v>0.26776114865962036</v>
      </c>
      <c r="E172">
        <v>0.76283659536207105</v>
      </c>
      <c r="F172">
        <v>33.954950785234679</v>
      </c>
      <c r="G172">
        <v>66.045049214765328</v>
      </c>
      <c r="H172">
        <v>0.53090210211947875</v>
      </c>
      <c r="I172">
        <v>0.3780502666504032</v>
      </c>
      <c r="J172">
        <v>-2710.7059362817345</v>
      </c>
      <c r="K172">
        <v>749.87672314115559</v>
      </c>
      <c r="L172">
        <v>5</v>
      </c>
    </row>
    <row r="173" spans="2:12">
      <c r="B173">
        <v>368.02999999999975</v>
      </c>
      <c r="C173">
        <v>1.3049999999999993</v>
      </c>
      <c r="D173">
        <v>0.25019668367252629</v>
      </c>
      <c r="E173">
        <v>0.74823078418825961</v>
      </c>
      <c r="F173">
        <v>29.79944882120985</v>
      </c>
      <c r="G173">
        <v>70.20055117879015</v>
      </c>
      <c r="H173">
        <v>0.49842126057474206</v>
      </c>
      <c r="I173">
        <v>0.40513132655535167</v>
      </c>
      <c r="J173">
        <v>-2763.975974118292</v>
      </c>
      <c r="K173">
        <v>667.37684332071387</v>
      </c>
      <c r="L173">
        <v>5</v>
      </c>
    </row>
    <row r="174" spans="2:12">
      <c r="B174">
        <v>369.79999999999973</v>
      </c>
      <c r="C174">
        <v>1.3049999999999993</v>
      </c>
      <c r="D174">
        <v>0.23293301345266298</v>
      </c>
      <c r="E174">
        <v>0.73015669947199258</v>
      </c>
      <c r="F174">
        <v>25.194378710646351</v>
      </c>
      <c r="G174">
        <v>74.805621289353653</v>
      </c>
      <c r="H174">
        <v>0.46288361947231371</v>
      </c>
      <c r="I174">
        <v>0.44214164913990228</v>
      </c>
      <c r="J174">
        <v>-2836.7774557199023</v>
      </c>
      <c r="K174">
        <v>591.63098511417343</v>
      </c>
      <c r="L174">
        <v>5</v>
      </c>
    </row>
    <row r="175" spans="2:12">
      <c r="B175">
        <v>371.56999999999971</v>
      </c>
      <c r="C175">
        <v>1.3049999999999993</v>
      </c>
      <c r="D175">
        <v>0.21692643390968991</v>
      </c>
      <c r="E175">
        <v>0.70760477913233066</v>
      </c>
      <c r="F175">
        <v>19.964431632665146</v>
      </c>
      <c r="G175">
        <v>80.035568367334861</v>
      </c>
      <c r="H175">
        <v>0.42309749585164991</v>
      </c>
      <c r="I175">
        <v>0.49400024115122648</v>
      </c>
      <c r="J175">
        <v>-2938.7863567115892</v>
      </c>
      <c r="K175">
        <v>527.33388937148584</v>
      </c>
      <c r="L175">
        <v>4</v>
      </c>
    </row>
    <row r="176" spans="2:12">
      <c r="B176">
        <v>373.33999999999969</v>
      </c>
      <c r="C176">
        <v>1.3049999999999993</v>
      </c>
      <c r="D176">
        <v>0.20305325594586915</v>
      </c>
      <c r="E176">
        <v>0.67994166885353002</v>
      </c>
      <c r="F176">
        <v>13.853983946461856</v>
      </c>
      <c r="G176">
        <v>86.146016053538148</v>
      </c>
      <c r="H176">
        <v>0.37732447252471168</v>
      </c>
      <c r="I176">
        <v>0.56629249911920343</v>
      </c>
      <c r="J176">
        <v>-3080.9894806203629</v>
      </c>
      <c r="K176">
        <v>478.20577577365759</v>
      </c>
      <c r="L176">
        <v>4</v>
      </c>
    </row>
    <row r="177" spans="2:12">
      <c r="B177">
        <v>375.10999999999967</v>
      </c>
      <c r="C177">
        <v>1.3049999999999993</v>
      </c>
      <c r="D177">
        <v>0.19181997054648933</v>
      </c>
      <c r="E177">
        <v>0.6469619005713334</v>
      </c>
      <c r="F177">
        <v>6.4702315254729461</v>
      </c>
      <c r="G177">
        <v>93.52976847452706</v>
      </c>
      <c r="H177">
        <v>0.32289246689117701</v>
      </c>
      <c r="I177">
        <v>0.66581011205037777</v>
      </c>
      <c r="J177">
        <v>-3276.7464792332139</v>
      </c>
      <c r="K177">
        <v>446.43699083833377</v>
      </c>
      <c r="L177">
        <v>4</v>
      </c>
    </row>
    <row r="178" spans="2:12">
      <c r="B178">
        <v>376.87999999999965</v>
      </c>
      <c r="C178">
        <v>1.3049999999999993</v>
      </c>
      <c r="D178">
        <v>0.18335628446244501</v>
      </c>
      <c r="E178">
        <v>0.60864256847565901</v>
      </c>
      <c r="F178">
        <v>-2.8253287036716666</v>
      </c>
      <c r="G178">
        <v>102.82532870367167</v>
      </c>
      <c r="H178">
        <v>0.25545749430349218</v>
      </c>
      <c r="I178">
        <v>0.80265328169796979</v>
      </c>
      <c r="J178">
        <v>-3545.925043528242</v>
      </c>
      <c r="K178">
        <v>433.7373697168394</v>
      </c>
      <c r="L178">
        <v>4</v>
      </c>
    </row>
    <row r="179" spans="2:12">
      <c r="B179">
        <v>341.48</v>
      </c>
      <c r="C179">
        <v>1.3199999999999992</v>
      </c>
      <c r="D179">
        <v>0.5154036785107331</v>
      </c>
      <c r="E179">
        <v>0.91561921115589029</v>
      </c>
      <c r="F179">
        <v>100</v>
      </c>
      <c r="G179">
        <v>0</v>
      </c>
      <c r="H179">
        <v>1.0384884574792115</v>
      </c>
      <c r="I179">
        <v>8.5905683412324366E-2</v>
      </c>
      <c r="J179">
        <v>-2136.0403560769487</v>
      </c>
      <c r="K179">
        <v>2296.9221083400525</v>
      </c>
      <c r="L179">
        <v>6</v>
      </c>
    </row>
    <row r="180" spans="2:12">
      <c r="B180">
        <v>343.25</v>
      </c>
      <c r="C180">
        <v>1.3199999999999992</v>
      </c>
      <c r="D180">
        <v>0.48440848007544585</v>
      </c>
      <c r="E180">
        <v>0.89966655357815939</v>
      </c>
      <c r="F180">
        <v>89.427243824531431</v>
      </c>
      <c r="G180">
        <v>10.572756175468569</v>
      </c>
      <c r="H180">
        <v>0.96245342133136813</v>
      </c>
      <c r="I180">
        <v>0.12121003692300687</v>
      </c>
      <c r="J180">
        <v>-2205.4860961591385</v>
      </c>
      <c r="K180">
        <v>2048.5413973242571</v>
      </c>
      <c r="L180">
        <v>6</v>
      </c>
    </row>
    <row r="181" spans="2:12">
      <c r="B181">
        <v>345.02</v>
      </c>
      <c r="C181">
        <v>1.3199999999999992</v>
      </c>
      <c r="D181">
        <v>0.45995621459654457</v>
      </c>
      <c r="E181">
        <v>0.88545977319739111</v>
      </c>
      <c r="F181">
        <v>81.713971208586088</v>
      </c>
      <c r="G181">
        <v>18.286028791413912</v>
      </c>
      <c r="H181">
        <v>0.90589083312222207</v>
      </c>
      <c r="I181">
        <v>0.15167964050602056</v>
      </c>
      <c r="J181">
        <v>-2265.4215987365487</v>
      </c>
      <c r="K181">
        <v>1872.045281187437</v>
      </c>
      <c r="L181">
        <v>5</v>
      </c>
    </row>
    <row r="182" spans="2:12">
      <c r="B182">
        <v>346.78999999999996</v>
      </c>
      <c r="C182">
        <v>1.3199999999999992</v>
      </c>
      <c r="D182">
        <v>0.43952149679428693</v>
      </c>
      <c r="E182">
        <v>0.87276326608816401</v>
      </c>
      <c r="F182">
        <v>75.630504965990738</v>
      </c>
      <c r="G182">
        <v>24.369495034009262</v>
      </c>
      <c r="H182">
        <v>0.86040472666270262</v>
      </c>
      <c r="I182">
        <v>0.1782762867895239</v>
      </c>
      <c r="J182">
        <v>-2317.7387664848047</v>
      </c>
      <c r="K182">
        <v>1734.2305239349018</v>
      </c>
      <c r="L182">
        <v>5</v>
      </c>
    </row>
    <row r="183" spans="2:12">
      <c r="B183">
        <v>348.55999999999995</v>
      </c>
      <c r="C183">
        <v>1.3199999999999992</v>
      </c>
      <c r="D183">
        <v>0.42164112167252582</v>
      </c>
      <c r="E183">
        <v>0.86124215630758527</v>
      </c>
      <c r="F183">
        <v>70.553912256238732</v>
      </c>
      <c r="G183">
        <v>29.446087743761268</v>
      </c>
      <c r="H183">
        <v>0.82175001386763147</v>
      </c>
      <c r="I183">
        <v>0.20190544766596882</v>
      </c>
      <c r="J183">
        <v>-2364.2187158794118</v>
      </c>
      <c r="K183">
        <v>1619.1337738461114</v>
      </c>
      <c r="L183">
        <v>5</v>
      </c>
    </row>
    <row r="184" spans="2:12">
      <c r="B184">
        <v>350.32999999999993</v>
      </c>
      <c r="C184">
        <v>1.3199999999999992</v>
      </c>
      <c r="D184">
        <v>0.4054126176624499</v>
      </c>
      <c r="E184">
        <v>0.85060579642205358</v>
      </c>
      <c r="F184">
        <v>66.132873808015972</v>
      </c>
      <c r="G184">
        <v>33.867126191984028</v>
      </c>
      <c r="H184">
        <v>0.78753631715317551</v>
      </c>
      <c r="I184">
        <v>0.22326084118107617</v>
      </c>
      <c r="J184">
        <v>-2406.2260311232467</v>
      </c>
      <c r="K184">
        <v>1518.1278368235203</v>
      </c>
      <c r="L184">
        <v>5</v>
      </c>
    </row>
    <row r="185" spans="2:12">
      <c r="B185">
        <v>352.09999999999991</v>
      </c>
      <c r="C185">
        <v>1.3199999999999992</v>
      </c>
      <c r="D185">
        <v>0.39023662054011177</v>
      </c>
      <c r="E185">
        <v>0.8406206015135087</v>
      </c>
      <c r="F185">
        <v>62.150411207631038</v>
      </c>
      <c r="G185">
        <v>37.849588792368962</v>
      </c>
      <c r="H185">
        <v>0.75628933510765406</v>
      </c>
      <c r="I185">
        <v>0.24285810132521582</v>
      </c>
      <c r="J185">
        <v>-2444.7749946067775</v>
      </c>
      <c r="K185">
        <v>1426.0644153567716</v>
      </c>
      <c r="L185">
        <v>5</v>
      </c>
    </row>
    <row r="186" spans="2:12">
      <c r="B186">
        <v>353.86999999999989</v>
      </c>
      <c r="C186">
        <v>1.3199999999999992</v>
      </c>
      <c r="D186">
        <v>0.37568372854003579</v>
      </c>
      <c r="E186">
        <v>0.83109667269810772</v>
      </c>
      <c r="F186">
        <v>58.461547270721063</v>
      </c>
      <c r="G186">
        <v>41.538452729278937</v>
      </c>
      <c r="H186">
        <v>0.72702516901492686</v>
      </c>
      <c r="I186">
        <v>0.26108903760236857</v>
      </c>
      <c r="J186">
        <v>-2480.6363186719536</v>
      </c>
      <c r="K186">
        <v>1339.6015251543477</v>
      </c>
      <c r="L186">
        <v>5</v>
      </c>
    </row>
    <row r="187" spans="2:12">
      <c r="B187">
        <v>355.63999999999987</v>
      </c>
      <c r="C187">
        <v>1.3199999999999992</v>
      </c>
      <c r="D187">
        <v>0.36142166297362416</v>
      </c>
      <c r="E187">
        <v>0.82187067678756465</v>
      </c>
      <c r="F187">
        <v>54.961955955501061</v>
      </c>
      <c r="G187">
        <v>45.038044044498939</v>
      </c>
      <c r="H187">
        <v>0.69903652115894643</v>
      </c>
      <c r="I187">
        <v>0.27827038253623054</v>
      </c>
      <c r="J187">
        <v>-2514.4330348242088</v>
      </c>
      <c r="K187">
        <v>1256.4056932686051</v>
      </c>
      <c r="L187">
        <v>5</v>
      </c>
    </row>
    <row r="188" spans="2:12">
      <c r="B188">
        <v>357.40999999999985</v>
      </c>
      <c r="C188">
        <v>1.3199999999999992</v>
      </c>
      <c r="D188">
        <v>0.34717375292017555</v>
      </c>
      <c r="E188">
        <v>0.81278858423050149</v>
      </c>
      <c r="F188">
        <v>51.570749368101026</v>
      </c>
      <c r="G188">
        <v>48.429250631898974</v>
      </c>
      <c r="H188">
        <v>0.67177538857655539</v>
      </c>
      <c r="I188">
        <v>0.29468867085560874</v>
      </c>
      <c r="J188">
        <v>-2546.7287737300917</v>
      </c>
      <c r="K188">
        <v>1174.7498979800932</v>
      </c>
      <c r="L188">
        <v>5</v>
      </c>
    </row>
    <row r="189" spans="2:12">
      <c r="B189">
        <v>359.17999999999984</v>
      </c>
      <c r="C189">
        <v>1.3199999999999992</v>
      </c>
      <c r="D189">
        <v>0.33269567021289198</v>
      </c>
      <c r="E189">
        <v>0.80368618130955249</v>
      </c>
      <c r="F189">
        <v>48.220026625437633</v>
      </c>
      <c r="G189">
        <v>51.779973374562367</v>
      </c>
      <c r="H189">
        <v>0.64478195240588942</v>
      </c>
      <c r="I189">
        <v>0.3106513087700396</v>
      </c>
      <c r="J189">
        <v>-2578.1282214864782</v>
      </c>
      <c r="K189">
        <v>1093.3167825430958</v>
      </c>
      <c r="L189">
        <v>5</v>
      </c>
    </row>
    <row r="190" spans="2:12">
      <c r="B190">
        <v>360.94999999999982</v>
      </c>
      <c r="C190">
        <v>1.3199999999999992</v>
      </c>
      <c r="D190">
        <v>0.31776689464463193</v>
      </c>
      <c r="E190">
        <v>0.79436316649121985</v>
      </c>
      <c r="F190">
        <v>44.847780631536459</v>
      </c>
      <c r="G190">
        <v>55.152219368463541</v>
      </c>
      <c r="H190">
        <v>0.61763631794831308</v>
      </c>
      <c r="I190">
        <v>0.32655906624229358</v>
      </c>
      <c r="J190">
        <v>-2609.419716184841</v>
      </c>
      <c r="K190">
        <v>1011.1395252087899</v>
      </c>
      <c r="L190">
        <v>5</v>
      </c>
    </row>
    <row r="191" spans="2:12">
      <c r="B191">
        <v>362.7199999999998</v>
      </c>
      <c r="C191">
        <v>1.3199999999999992</v>
      </c>
      <c r="D191">
        <v>0.30220083578904167</v>
      </c>
      <c r="E191">
        <v>0.78454468116762599</v>
      </c>
      <c r="F191">
        <v>41.392356534864177</v>
      </c>
      <c r="G191">
        <v>58.607643465135823</v>
      </c>
      <c r="H191">
        <v>0.58992082908053112</v>
      </c>
      <c r="I191">
        <v>0.34302359285316603</v>
      </c>
      <c r="J191">
        <v>-2641.8064085299925</v>
      </c>
      <c r="K191">
        <v>927.67547408661267</v>
      </c>
      <c r="L191">
        <v>5</v>
      </c>
    </row>
    <row r="192" spans="2:12">
      <c r="B192">
        <v>364.48999999999978</v>
      </c>
      <c r="C192">
        <v>1.3199999999999992</v>
      </c>
      <c r="D192">
        <v>0.28588489898590486</v>
      </c>
      <c r="E192">
        <v>0.77382358639704663</v>
      </c>
      <c r="F192">
        <v>37.787208981589885</v>
      </c>
      <c r="G192">
        <v>62.212791018410115</v>
      </c>
      <c r="H192">
        <v>0.5611844140702873</v>
      </c>
      <c r="I192">
        <v>0.36106260509428584</v>
      </c>
      <c r="J192">
        <v>-2677.2902067266423</v>
      </c>
      <c r="K192">
        <v>843.04105754044338</v>
      </c>
      <c r="L192">
        <v>5</v>
      </c>
    </row>
    <row r="193" spans="2:12">
      <c r="B193">
        <v>366.25999999999976</v>
      </c>
      <c r="C193">
        <v>1.3199999999999992</v>
      </c>
      <c r="D193">
        <v>0.26886612447241481</v>
      </c>
      <c r="E193">
        <v>0.76158603767580924</v>
      </c>
      <c r="F193">
        <v>33.954950785234679</v>
      </c>
      <c r="G193">
        <v>66.045049214765328</v>
      </c>
      <c r="H193">
        <v>0.53090210211947875</v>
      </c>
      <c r="I193">
        <v>0.38239567201420094</v>
      </c>
      <c r="J193">
        <v>-2719.2536042444049</v>
      </c>
      <c r="K193">
        <v>758.424391103826</v>
      </c>
      <c r="L193">
        <v>5</v>
      </c>
    </row>
    <row r="194" spans="2:12">
      <c r="B194">
        <v>368.02999999999975</v>
      </c>
      <c r="C194">
        <v>1.3199999999999992</v>
      </c>
      <c r="D194">
        <v>0.25147750586291245</v>
      </c>
      <c r="E194">
        <v>0.74695802487745655</v>
      </c>
      <c r="F194">
        <v>29.79944882120985</v>
      </c>
      <c r="G194">
        <v>70.20055117879015</v>
      </c>
      <c r="H194">
        <v>0.49842126057474206</v>
      </c>
      <c r="I194">
        <v>0.40978800846978097</v>
      </c>
      <c r="J194">
        <v>-2773.13594136644</v>
      </c>
      <c r="K194">
        <v>676.53681056886182</v>
      </c>
      <c r="L194">
        <v>5</v>
      </c>
    </row>
    <row r="195" spans="2:12">
      <c r="B195">
        <v>369.79999999999973</v>
      </c>
      <c r="C195">
        <v>1.3199999999999992</v>
      </c>
      <c r="D195">
        <v>0.23442432972071237</v>
      </c>
      <c r="E195">
        <v>0.72887149221159497</v>
      </c>
      <c r="F195">
        <v>25.194378710646351</v>
      </c>
      <c r="G195">
        <v>74.805621289353653</v>
      </c>
      <c r="H195">
        <v>0.46288361947231371</v>
      </c>
      <c r="I195">
        <v>0.44722373706105056</v>
      </c>
      <c r="J195">
        <v>-2846.7742216071492</v>
      </c>
      <c r="K195">
        <v>601.62775100142039</v>
      </c>
      <c r="L195">
        <v>5</v>
      </c>
    </row>
    <row r="196" spans="2:12">
      <c r="B196">
        <v>371.56999999999971</v>
      </c>
      <c r="C196">
        <v>1.3199999999999992</v>
      </c>
      <c r="D196">
        <v>0.21866828482252579</v>
      </c>
      <c r="E196">
        <v>0.70632731412902705</v>
      </c>
      <c r="F196">
        <v>19.964431632665146</v>
      </c>
      <c r="G196">
        <v>80.035568367334861</v>
      </c>
      <c r="H196">
        <v>0.42309749585164991</v>
      </c>
      <c r="I196">
        <v>0.49967840484261983</v>
      </c>
      <c r="J196">
        <v>-2949.9556387021889</v>
      </c>
      <c r="K196">
        <v>538.50317136208548</v>
      </c>
      <c r="L196">
        <v>4</v>
      </c>
    </row>
    <row r="197" spans="2:12">
      <c r="B197">
        <v>373.33999999999969</v>
      </c>
      <c r="C197">
        <v>1.3199999999999992</v>
      </c>
      <c r="D197">
        <v>0.20508757414664344</v>
      </c>
      <c r="E197">
        <v>0.67870892722778009</v>
      </c>
      <c r="F197">
        <v>13.853983946461856</v>
      </c>
      <c r="G197">
        <v>86.146016053538148</v>
      </c>
      <c r="H197">
        <v>0.37732447252471168</v>
      </c>
      <c r="I197">
        <v>0.57280160830448157</v>
      </c>
      <c r="J197">
        <v>-3093.7932812765803</v>
      </c>
      <c r="K197">
        <v>491.00957642987527</v>
      </c>
      <c r="L197">
        <v>4</v>
      </c>
    </row>
    <row r="198" spans="2:12">
      <c r="B198">
        <v>375.10999999999967</v>
      </c>
      <c r="C198">
        <v>1.3199999999999992</v>
      </c>
      <c r="D198">
        <v>0.19418709599249684</v>
      </c>
      <c r="E198">
        <v>0.645833088769177</v>
      </c>
      <c r="F198">
        <v>6.4702315254729461</v>
      </c>
      <c r="G198">
        <v>93.52976847452706</v>
      </c>
      <c r="H198">
        <v>0.32289246689117701</v>
      </c>
      <c r="I198">
        <v>0.67346310184406022</v>
      </c>
      <c r="J198">
        <v>-3291.8003603332577</v>
      </c>
      <c r="K198">
        <v>461.49087193837744</v>
      </c>
      <c r="L198">
        <v>4</v>
      </c>
    </row>
    <row r="199" spans="2:12">
      <c r="B199">
        <v>376.87999999999965</v>
      </c>
      <c r="C199">
        <v>1.3199999999999992</v>
      </c>
      <c r="D199">
        <v>0.18609330573682489</v>
      </c>
      <c r="E199">
        <v>0.60770347824070403</v>
      </c>
      <c r="F199">
        <v>-2.8253287036716666</v>
      </c>
      <c r="G199">
        <v>102.82532870367167</v>
      </c>
      <c r="H199">
        <v>0.25545749430349218</v>
      </c>
      <c r="I199">
        <v>0.81187918148760152</v>
      </c>
      <c r="J199">
        <v>-3564.0729311144351</v>
      </c>
      <c r="K199">
        <v>451.88525730303246</v>
      </c>
      <c r="L199">
        <v>4</v>
      </c>
    </row>
    <row r="200" spans="2:12">
      <c r="B200">
        <v>341.48</v>
      </c>
      <c r="C200">
        <v>1.3349999999999991</v>
      </c>
      <c r="D200">
        <v>0.51539031661109547</v>
      </c>
      <c r="E200">
        <v>0.9152586828455217</v>
      </c>
      <c r="F200">
        <v>100</v>
      </c>
      <c r="G200">
        <v>0</v>
      </c>
      <c r="H200">
        <v>1.0384884574792115</v>
      </c>
      <c r="I200">
        <v>8.6881884360191688E-2</v>
      </c>
      <c r="J200">
        <v>-2137.9606007649891</v>
      </c>
      <c r="K200">
        <v>2298.8423530280929</v>
      </c>
      <c r="L200">
        <v>6</v>
      </c>
    </row>
    <row r="201" spans="2:12">
      <c r="B201">
        <v>343.25</v>
      </c>
      <c r="C201">
        <v>1.3349999999999991</v>
      </c>
      <c r="D201">
        <v>0.48442827246720011</v>
      </c>
      <c r="E201">
        <v>0.89915920361883783</v>
      </c>
      <c r="F201">
        <v>89.427243824531431</v>
      </c>
      <c r="G201">
        <v>10.572756175468569</v>
      </c>
      <c r="H201">
        <v>0.96245342133136813</v>
      </c>
      <c r="I201">
        <v>0.12258742370622285</v>
      </c>
      <c r="J201">
        <v>-2208.195496984476</v>
      </c>
      <c r="K201">
        <v>2051.2507981495951</v>
      </c>
      <c r="L201">
        <v>5</v>
      </c>
    </row>
    <row r="202" spans="2:12">
      <c r="B202">
        <v>345.02</v>
      </c>
      <c r="C202">
        <v>1.3349999999999991</v>
      </c>
      <c r="D202">
        <v>0.46002137191280734</v>
      </c>
      <c r="E202">
        <v>0.88483257164549634</v>
      </c>
      <c r="F202">
        <v>81.713971208586088</v>
      </c>
      <c r="G202">
        <v>18.286028791413912</v>
      </c>
      <c r="H202">
        <v>0.90589083312222207</v>
      </c>
      <c r="I202">
        <v>0.15340327278449806</v>
      </c>
      <c r="J202">
        <v>-2268.8120848184481</v>
      </c>
      <c r="K202">
        <v>1875.4357672693361</v>
      </c>
      <c r="L202">
        <v>5</v>
      </c>
    </row>
    <row r="203" spans="2:12">
      <c r="B203">
        <v>346.78999999999996</v>
      </c>
      <c r="C203">
        <v>1.3349999999999991</v>
      </c>
      <c r="D203">
        <v>0.43963922581082132</v>
      </c>
      <c r="E203">
        <v>0.87203763548570945</v>
      </c>
      <c r="F203">
        <v>75.630504965990738</v>
      </c>
      <c r="G203">
        <v>24.369495034009262</v>
      </c>
      <c r="H203">
        <v>0.86040472666270262</v>
      </c>
      <c r="I203">
        <v>0.18030215368485938</v>
      </c>
      <c r="J203">
        <v>-2321.7237658365707</v>
      </c>
      <c r="K203">
        <v>1738.2155232866676</v>
      </c>
      <c r="L203">
        <v>5</v>
      </c>
    </row>
    <row r="204" spans="2:12">
      <c r="B204">
        <v>348.55999999999995</v>
      </c>
      <c r="C204">
        <v>1.3349999999999991</v>
      </c>
      <c r="D204">
        <v>0.42181635933307177</v>
      </c>
      <c r="E204">
        <v>0.86043429341172606</v>
      </c>
      <c r="F204">
        <v>70.553912256238732</v>
      </c>
      <c r="G204">
        <v>29.446087743761268</v>
      </c>
      <c r="H204">
        <v>0.82175001386763147</v>
      </c>
      <c r="I204">
        <v>0.2041998277530821</v>
      </c>
      <c r="J204">
        <v>-2368.7318964742981</v>
      </c>
      <c r="K204">
        <v>1623.6469544409977</v>
      </c>
      <c r="L204">
        <v>5</v>
      </c>
    </row>
    <row r="205" spans="2:12">
      <c r="B205">
        <v>350.32999999999993</v>
      </c>
      <c r="C205">
        <v>1.3349999999999991</v>
      </c>
      <c r="D205">
        <v>0.40564943330471775</v>
      </c>
      <c r="E205">
        <v>0.84972799501968255</v>
      </c>
      <c r="F205">
        <v>66.132873808015972</v>
      </c>
      <c r="G205">
        <v>33.867126191984028</v>
      </c>
      <c r="H205">
        <v>0.78753631715317551</v>
      </c>
      <c r="I205">
        <v>0.22579789619449747</v>
      </c>
      <c r="J205">
        <v>-2411.2165675731762</v>
      </c>
      <c r="K205">
        <v>1523.1183732734501</v>
      </c>
      <c r="L205">
        <v>5</v>
      </c>
    </row>
    <row r="206" spans="2:12">
      <c r="B206">
        <v>352.09999999999991</v>
      </c>
      <c r="C206">
        <v>1.3349999999999991</v>
      </c>
      <c r="D206">
        <v>0.39053896352816719</v>
      </c>
      <c r="E206">
        <v>0.83968236281348319</v>
      </c>
      <c r="F206">
        <v>62.150411207631038</v>
      </c>
      <c r="G206">
        <v>37.849588792368962</v>
      </c>
      <c r="H206">
        <v>0.75628933510765406</v>
      </c>
      <c r="I206">
        <v>0.2456178524766387</v>
      </c>
      <c r="J206">
        <v>-2450.2035874599296</v>
      </c>
      <c r="K206">
        <v>1431.4930082099236</v>
      </c>
      <c r="L206">
        <v>5</v>
      </c>
    </row>
    <row r="207" spans="2:12">
      <c r="B207">
        <v>353.86999999999989</v>
      </c>
      <c r="C207">
        <v>1.3349999999999991</v>
      </c>
      <c r="D207">
        <v>0.37605588429148107</v>
      </c>
      <c r="E207">
        <v>0.83010549487736141</v>
      </c>
      <c r="F207">
        <v>58.461547270721063</v>
      </c>
      <c r="G207">
        <v>41.538452729278937</v>
      </c>
      <c r="H207">
        <v>0.72702516901492686</v>
      </c>
      <c r="I207">
        <v>0.26405595848421365</v>
      </c>
      <c r="J207">
        <v>-2486.4724265713003</v>
      </c>
      <c r="K207">
        <v>1345.437633053695</v>
      </c>
      <c r="L207">
        <v>5</v>
      </c>
    </row>
    <row r="208" spans="2:12">
      <c r="B208">
        <v>355.63999999999987</v>
      </c>
      <c r="C208">
        <v>1.3349999999999991</v>
      </c>
      <c r="D208">
        <v>0.361868599409786</v>
      </c>
      <c r="E208">
        <v>0.82083259438395595</v>
      </c>
      <c r="F208">
        <v>54.961955955501061</v>
      </c>
      <c r="G208">
        <v>45.038044044498939</v>
      </c>
      <c r="H208">
        <v>0.69903652115894643</v>
      </c>
      <c r="I208">
        <v>0.28143254597414225</v>
      </c>
      <c r="J208">
        <v>-2520.6531963161951</v>
      </c>
      <c r="K208">
        <v>1262.6258547605914</v>
      </c>
      <c r="L208">
        <v>5</v>
      </c>
    </row>
    <row r="209" spans="2:12">
      <c r="B209">
        <v>357.40999999999985</v>
      </c>
      <c r="C209">
        <v>1.3349999999999991</v>
      </c>
      <c r="D209">
        <v>0.34770145743142467</v>
      </c>
      <c r="E209">
        <v>0.81170853450004232</v>
      </c>
      <c r="F209">
        <v>51.570749368101026</v>
      </c>
      <c r="G209">
        <v>48.429250631898974</v>
      </c>
      <c r="H209">
        <v>0.67177538857655539</v>
      </c>
      <c r="I209">
        <v>0.29803740575169518</v>
      </c>
      <c r="J209">
        <v>-2553.3159322550996</v>
      </c>
      <c r="K209">
        <v>1181.3370565051009</v>
      </c>
      <c r="L209">
        <v>5</v>
      </c>
    </row>
    <row r="210" spans="2:12">
      <c r="B210">
        <v>359.17999999999984</v>
      </c>
      <c r="C210">
        <v>1.3349999999999991</v>
      </c>
      <c r="D210">
        <v>0.33331154959950032</v>
      </c>
      <c r="E210">
        <v>0.80256825412079202</v>
      </c>
      <c r="F210">
        <v>48.220026625437633</v>
      </c>
      <c r="G210">
        <v>51.779973374562367</v>
      </c>
      <c r="H210">
        <v>0.64478195240588942</v>
      </c>
      <c r="I210">
        <v>0.31418143727879005</v>
      </c>
      <c r="J210">
        <v>-2585.0721919178086</v>
      </c>
      <c r="K210">
        <v>1100.2607529744262</v>
      </c>
      <c r="L210">
        <v>5</v>
      </c>
    </row>
    <row r="211" spans="2:12">
      <c r="B211">
        <v>360.94999999999982</v>
      </c>
      <c r="C211">
        <v>1.3349999999999991</v>
      </c>
      <c r="D211">
        <v>0.3184803075273574</v>
      </c>
      <c r="E211">
        <v>0.79321078270911183</v>
      </c>
      <c r="F211">
        <v>44.847780631536459</v>
      </c>
      <c r="G211">
        <v>55.152219368463541</v>
      </c>
      <c r="H211">
        <v>0.61763631794831308</v>
      </c>
      <c r="I211">
        <v>0.33026996472231962</v>
      </c>
      <c r="J211">
        <v>-2616.7192717831981</v>
      </c>
      <c r="K211">
        <v>1018.439080807147</v>
      </c>
      <c r="L211">
        <v>5</v>
      </c>
    </row>
    <row r="212" spans="2:12">
      <c r="B212">
        <v>362.7199999999998</v>
      </c>
      <c r="C212">
        <v>1.3349999999999991</v>
      </c>
      <c r="D212">
        <v>0.30302383463356392</v>
      </c>
      <c r="E212">
        <v>0.78336075329437094</v>
      </c>
      <c r="F212">
        <v>41.392356534864177</v>
      </c>
      <c r="G212">
        <v>58.607643465135823</v>
      </c>
      <c r="H212">
        <v>0.58992082908053112</v>
      </c>
      <c r="I212">
        <v>0.34692158822649743</v>
      </c>
      <c r="J212">
        <v>-2649.473994723181</v>
      </c>
      <c r="K212">
        <v>935.34306027980097</v>
      </c>
      <c r="L212">
        <v>5</v>
      </c>
    </row>
    <row r="213" spans="2:12">
      <c r="B213">
        <v>364.48999999999978</v>
      </c>
      <c r="C213">
        <v>1.3349999999999991</v>
      </c>
      <c r="D213">
        <v>0.28683325636954715</v>
      </c>
      <c r="E213">
        <v>0.77261076853065092</v>
      </c>
      <c r="F213">
        <v>37.787208981589885</v>
      </c>
      <c r="G213">
        <v>62.212791018410115</v>
      </c>
      <c r="H213">
        <v>0.5611844140702873</v>
      </c>
      <c r="I213">
        <v>0.36516558924308451</v>
      </c>
      <c r="J213">
        <v>-2685.3610178993381</v>
      </c>
      <c r="K213">
        <v>851.11186871313907</v>
      </c>
      <c r="L213">
        <v>5</v>
      </c>
    </row>
    <row r="214" spans="2:12">
      <c r="B214">
        <v>366.25999999999976</v>
      </c>
      <c r="C214">
        <v>1.3349999999999991</v>
      </c>
      <c r="D214">
        <v>0.26996063528545544</v>
      </c>
      <c r="E214">
        <v>0.7603473237654268</v>
      </c>
      <c r="F214">
        <v>33.954950785234679</v>
      </c>
      <c r="G214">
        <v>66.045049214765328</v>
      </c>
      <c r="H214">
        <v>0.53090210211947875</v>
      </c>
      <c r="I214">
        <v>0.38674107737799862</v>
      </c>
      <c r="J214">
        <v>-2727.8012722070753</v>
      </c>
      <c r="K214">
        <v>766.97205906649617</v>
      </c>
      <c r="L214">
        <v>5</v>
      </c>
    </row>
    <row r="215" spans="2:12">
      <c r="B215">
        <v>368.02999999999975</v>
      </c>
      <c r="C215">
        <v>1.3349999999999991</v>
      </c>
      <c r="D215">
        <v>0.25274526067681619</v>
      </c>
      <c r="E215">
        <v>0.74569825068294093</v>
      </c>
      <c r="F215">
        <v>29.79944882120985</v>
      </c>
      <c r="G215">
        <v>70.20055117879015</v>
      </c>
      <c r="H215">
        <v>0.49842126057474206</v>
      </c>
      <c r="I215">
        <v>0.41444469038421028</v>
      </c>
      <c r="J215">
        <v>-2782.2959086145879</v>
      </c>
      <c r="K215">
        <v>685.69677781700989</v>
      </c>
      <c r="L215">
        <v>5</v>
      </c>
    </row>
    <row r="216" spans="2:12">
      <c r="B216">
        <v>369.79999999999973</v>
      </c>
      <c r="C216">
        <v>1.3349999999999991</v>
      </c>
      <c r="D216">
        <v>0.23589908329687681</v>
      </c>
      <c r="E216">
        <v>0.72760055857800499</v>
      </c>
      <c r="F216">
        <v>25.194378710646351</v>
      </c>
      <c r="G216">
        <v>74.805621289353653</v>
      </c>
      <c r="H216">
        <v>0.46288361947231371</v>
      </c>
      <c r="I216">
        <v>0.45230582498219885</v>
      </c>
      <c r="J216">
        <v>-2856.7709874943962</v>
      </c>
      <c r="K216">
        <v>611.62451688866736</v>
      </c>
      <c r="L216">
        <v>4</v>
      </c>
    </row>
    <row r="217" spans="2:12">
      <c r="B217">
        <v>371.56999999999971</v>
      </c>
      <c r="C217">
        <v>1.3349999999999991</v>
      </c>
      <c r="D217">
        <v>0.22038883039568258</v>
      </c>
      <c r="E217">
        <v>0.70506547435841294</v>
      </c>
      <c r="F217">
        <v>19.964431632665146</v>
      </c>
      <c r="G217">
        <v>80.035568367334861</v>
      </c>
      <c r="H217">
        <v>0.42309749585164991</v>
      </c>
      <c r="I217">
        <v>0.50535656853401323</v>
      </c>
      <c r="J217">
        <v>-2961.1249206927887</v>
      </c>
      <c r="K217">
        <v>549.67245335268512</v>
      </c>
      <c r="L217">
        <v>4</v>
      </c>
    </row>
    <row r="218" spans="2:12">
      <c r="B218">
        <v>373.33999999999969</v>
      </c>
      <c r="C218">
        <v>1.3349999999999991</v>
      </c>
      <c r="D218">
        <v>0.20709420865059233</v>
      </c>
      <c r="E218">
        <v>0.67749296117107261</v>
      </c>
      <c r="F218">
        <v>13.853983946461856</v>
      </c>
      <c r="G218">
        <v>86.146016053538148</v>
      </c>
      <c r="H218">
        <v>0.37732447252471168</v>
      </c>
      <c r="I218">
        <v>0.57931071748975971</v>
      </c>
      <c r="J218">
        <v>-3106.5970819327981</v>
      </c>
      <c r="K218">
        <v>503.81337708609294</v>
      </c>
      <c r="L218">
        <v>4</v>
      </c>
    </row>
    <row r="219" spans="2:12">
      <c r="B219">
        <v>375.10999999999967</v>
      </c>
      <c r="C219">
        <v>1.3349999999999991</v>
      </c>
      <c r="D219">
        <v>0.19651813491966988</v>
      </c>
      <c r="E219">
        <v>0.64472148555578701</v>
      </c>
      <c r="F219">
        <v>6.4702315254729461</v>
      </c>
      <c r="G219">
        <v>93.52976847452706</v>
      </c>
      <c r="H219">
        <v>0.32289246689117701</v>
      </c>
      <c r="I219">
        <v>0.68111609163774267</v>
      </c>
      <c r="J219">
        <v>-3306.854241433301</v>
      </c>
      <c r="K219">
        <v>476.54475303842105</v>
      </c>
      <c r="L219">
        <v>4</v>
      </c>
    </row>
    <row r="220" spans="2:12">
      <c r="B220">
        <v>376.87999999999965</v>
      </c>
      <c r="C220">
        <v>1.3349999999999991</v>
      </c>
      <c r="D220">
        <v>0.18878341569444107</v>
      </c>
      <c r="E220">
        <v>0.60678048359108283</v>
      </c>
      <c r="F220">
        <v>-2.8253287036716666</v>
      </c>
      <c r="G220">
        <v>102.82532870367167</v>
      </c>
      <c r="H220">
        <v>0.25545749430349218</v>
      </c>
      <c r="I220">
        <v>0.82110508127723325</v>
      </c>
      <c r="J220">
        <v>-3582.2208187006286</v>
      </c>
      <c r="K220">
        <v>470.03314488922581</v>
      </c>
      <c r="L220">
        <v>4</v>
      </c>
    </row>
    <row r="221" spans="2:12">
      <c r="B221">
        <v>341.48</v>
      </c>
      <c r="C221">
        <v>1.349999999999999</v>
      </c>
      <c r="D221">
        <v>0.51537697787288927</v>
      </c>
      <c r="E221">
        <v>0.91489877947262133</v>
      </c>
      <c r="F221">
        <v>100</v>
      </c>
      <c r="G221">
        <v>0</v>
      </c>
      <c r="H221">
        <v>1.0384884574792115</v>
      </c>
      <c r="I221">
        <v>8.7858085308058997E-2</v>
      </c>
      <c r="J221">
        <v>-2139.880845453029</v>
      </c>
      <c r="K221">
        <v>2300.7625977161329</v>
      </c>
      <c r="L221">
        <v>6</v>
      </c>
    </row>
    <row r="222" spans="2:12">
      <c r="B222">
        <v>343.25</v>
      </c>
      <c r="C222">
        <v>1.349999999999999</v>
      </c>
      <c r="D222">
        <v>0.4844480146724276</v>
      </c>
      <c r="E222">
        <v>0.89865314012012221</v>
      </c>
      <c r="F222">
        <v>89.427243824531431</v>
      </c>
      <c r="G222">
        <v>10.572756175468569</v>
      </c>
      <c r="H222">
        <v>0.96245342133136813</v>
      </c>
      <c r="I222">
        <v>0.12396481048943883</v>
      </c>
      <c r="J222">
        <v>-2210.904897809814</v>
      </c>
      <c r="K222">
        <v>2053.9601989749326</v>
      </c>
      <c r="L222">
        <v>5</v>
      </c>
    </row>
    <row r="223" spans="2:12">
      <c r="B223">
        <v>345.02</v>
      </c>
      <c r="C223">
        <v>1.349999999999999</v>
      </c>
      <c r="D223">
        <v>0.4600863175318487</v>
      </c>
      <c r="E223">
        <v>0.88420740788204011</v>
      </c>
      <c r="F223">
        <v>81.713971208586088</v>
      </c>
      <c r="G223">
        <v>18.286028791413912</v>
      </c>
      <c r="H223">
        <v>0.90589083312222207</v>
      </c>
      <c r="I223">
        <v>0.15512690506297558</v>
      </c>
      <c r="J223">
        <v>-2272.2025709003474</v>
      </c>
      <c r="K223">
        <v>1878.8262533512357</v>
      </c>
      <c r="L223">
        <v>5</v>
      </c>
    </row>
    <row r="224" spans="2:12">
      <c r="B224">
        <v>346.78999999999996</v>
      </c>
      <c r="C224">
        <v>1.349999999999999</v>
      </c>
      <c r="D224">
        <v>0.43975649736916644</v>
      </c>
      <c r="E224">
        <v>0.87131482445714803</v>
      </c>
      <c r="F224">
        <v>75.630504965990738</v>
      </c>
      <c r="G224">
        <v>24.369495034009262</v>
      </c>
      <c r="H224">
        <v>0.86040472666270262</v>
      </c>
      <c r="I224">
        <v>0.18232802058019487</v>
      </c>
      <c r="J224">
        <v>-2325.7087651883367</v>
      </c>
      <c r="K224">
        <v>1742.2005226384335</v>
      </c>
      <c r="L224">
        <v>5</v>
      </c>
    </row>
    <row r="225" spans="2:12">
      <c r="B225">
        <v>348.55999999999995</v>
      </c>
      <c r="C225">
        <v>1.349999999999999</v>
      </c>
      <c r="D225">
        <v>0.42199081495800711</v>
      </c>
      <c r="E225">
        <v>0.85963003577715058</v>
      </c>
      <c r="F225">
        <v>70.553912256238732</v>
      </c>
      <c r="G225">
        <v>29.446087743761268</v>
      </c>
      <c r="H225">
        <v>0.82175001386763147</v>
      </c>
      <c r="I225">
        <v>0.20649420784019537</v>
      </c>
      <c r="J225">
        <v>-2373.2450770691844</v>
      </c>
      <c r="K225">
        <v>1628.160135035884</v>
      </c>
      <c r="L225">
        <v>5</v>
      </c>
    </row>
    <row r="226" spans="2:12">
      <c r="B226">
        <v>350.32999999999993</v>
      </c>
      <c r="C226">
        <v>1.349999999999999</v>
      </c>
      <c r="D226">
        <v>0.40588506609177311</v>
      </c>
      <c r="E226">
        <v>0.84885457809104958</v>
      </c>
      <c r="F226">
        <v>66.132873808015972</v>
      </c>
      <c r="G226">
        <v>33.867126191984028</v>
      </c>
      <c r="H226">
        <v>0.78753631715317551</v>
      </c>
      <c r="I226">
        <v>0.22833495120791877</v>
      </c>
      <c r="J226">
        <v>-2416.2071040231062</v>
      </c>
      <c r="K226">
        <v>1528.1089097233798</v>
      </c>
      <c r="L226">
        <v>5</v>
      </c>
    </row>
    <row r="227" spans="2:12">
      <c r="B227">
        <v>352.09999999999991</v>
      </c>
      <c r="C227">
        <v>1.349999999999999</v>
      </c>
      <c r="D227">
        <v>0.39083964548533329</v>
      </c>
      <c r="E227">
        <v>0.8387492786681322</v>
      </c>
      <c r="F227">
        <v>62.150411207631038</v>
      </c>
      <c r="G227">
        <v>37.849588792368962</v>
      </c>
      <c r="H227">
        <v>0.75628933510765406</v>
      </c>
      <c r="I227">
        <v>0.24837760362806161</v>
      </c>
      <c r="J227">
        <v>-2455.6321803130813</v>
      </c>
      <c r="K227">
        <v>1436.9216010630753</v>
      </c>
      <c r="L227">
        <v>5</v>
      </c>
    </row>
    <row r="228" spans="2:12">
      <c r="B228">
        <v>353.86999999999989</v>
      </c>
      <c r="C228">
        <v>1.349999999999999</v>
      </c>
      <c r="D228">
        <v>0.37642581850711215</v>
      </c>
      <c r="E228">
        <v>0.82912023376492461</v>
      </c>
      <c r="F228">
        <v>58.461547270721063</v>
      </c>
      <c r="G228">
        <v>41.538452729278937</v>
      </c>
      <c r="H228">
        <v>0.72702516901492686</v>
      </c>
      <c r="I228">
        <v>0.26702287936605873</v>
      </c>
      <c r="J228">
        <v>-2492.3085344706474</v>
      </c>
      <c r="K228">
        <v>1351.2737409530419</v>
      </c>
      <c r="L228">
        <v>5</v>
      </c>
    </row>
    <row r="229" spans="2:12">
      <c r="B229">
        <v>355.63999999999987</v>
      </c>
      <c r="C229">
        <v>1.349999999999999</v>
      </c>
      <c r="D229">
        <v>0.36231266223638042</v>
      </c>
      <c r="E229">
        <v>0.8198011864049084</v>
      </c>
      <c r="F229">
        <v>54.961955955501061</v>
      </c>
      <c r="G229">
        <v>45.038044044498939</v>
      </c>
      <c r="H229">
        <v>0.69903652115894643</v>
      </c>
      <c r="I229">
        <v>0.28459470941205389</v>
      </c>
      <c r="J229">
        <v>-2526.8733578081815</v>
      </c>
      <c r="K229">
        <v>1268.8460162525776</v>
      </c>
      <c r="L229">
        <v>5</v>
      </c>
    </row>
    <row r="230" spans="2:12">
      <c r="B230">
        <v>357.40999999999985</v>
      </c>
      <c r="C230">
        <v>1.349999999999999</v>
      </c>
      <c r="D230">
        <v>0.34822553018687874</v>
      </c>
      <c r="E230">
        <v>0.81063591786288414</v>
      </c>
      <c r="F230">
        <v>51.570749368101026</v>
      </c>
      <c r="G230">
        <v>48.429250631898974</v>
      </c>
      <c r="H230">
        <v>0.67177538857655539</v>
      </c>
      <c r="I230">
        <v>0.30138614064778163</v>
      </c>
      <c r="J230">
        <v>-2559.903090780107</v>
      </c>
      <c r="K230">
        <v>1187.9242150301086</v>
      </c>
      <c r="L230">
        <v>5</v>
      </c>
    </row>
    <row r="231" spans="2:12">
      <c r="B231">
        <v>359.17999999999984</v>
      </c>
      <c r="C231">
        <v>1.349999999999999</v>
      </c>
      <c r="D231">
        <v>0.33392291127593288</v>
      </c>
      <c r="E231">
        <v>0.80145852735429968</v>
      </c>
      <c r="F231">
        <v>48.220026625437633</v>
      </c>
      <c r="G231">
        <v>51.779973374562367</v>
      </c>
      <c r="H231">
        <v>0.64478195240588942</v>
      </c>
      <c r="I231">
        <v>0.31771156578754045</v>
      </c>
      <c r="J231">
        <v>-2592.0161623491385</v>
      </c>
      <c r="K231">
        <v>1107.2047234057563</v>
      </c>
      <c r="L231">
        <v>5</v>
      </c>
    </row>
    <row r="232" spans="2:12">
      <c r="B232">
        <v>360.94999999999982</v>
      </c>
      <c r="C232">
        <v>1.349999999999999</v>
      </c>
      <c r="D232">
        <v>0.31918815640212972</v>
      </c>
      <c r="E232">
        <v>0.79206738653107434</v>
      </c>
      <c r="F232">
        <v>44.847780631536459</v>
      </c>
      <c r="G232">
        <v>55.152219368463541</v>
      </c>
      <c r="H232">
        <v>0.61763631794831308</v>
      </c>
      <c r="I232">
        <v>0.33398086320234566</v>
      </c>
      <c r="J232">
        <v>-2624.0188273815552</v>
      </c>
      <c r="K232">
        <v>1025.7386364055042</v>
      </c>
      <c r="L232">
        <v>5</v>
      </c>
    </row>
    <row r="233" spans="2:12">
      <c r="B233">
        <v>362.7199999999998</v>
      </c>
      <c r="C233">
        <v>1.349999999999999</v>
      </c>
      <c r="D233">
        <v>0.30384001322109511</v>
      </c>
      <c r="E233">
        <v>0.78218663672572253</v>
      </c>
      <c r="F233">
        <v>41.392356534864177</v>
      </c>
      <c r="G233">
        <v>58.607643465135823</v>
      </c>
      <c r="H233">
        <v>0.58992082908053112</v>
      </c>
      <c r="I233">
        <v>0.35081958359982884</v>
      </c>
      <c r="J233">
        <v>-2657.1415809163695</v>
      </c>
      <c r="K233">
        <v>943.01064647298938</v>
      </c>
      <c r="L233">
        <v>5</v>
      </c>
    </row>
    <row r="234" spans="2:12">
      <c r="B234">
        <v>364.48999999999978</v>
      </c>
      <c r="C234">
        <v>1.349999999999999</v>
      </c>
      <c r="D234">
        <v>0.2877732498801836</v>
      </c>
      <c r="E234">
        <v>0.77140864690049316</v>
      </c>
      <c r="F234">
        <v>37.787208981589885</v>
      </c>
      <c r="G234">
        <v>62.212791018410115</v>
      </c>
      <c r="H234">
        <v>0.5611844140702873</v>
      </c>
      <c r="I234">
        <v>0.36926857339188318</v>
      </c>
      <c r="J234">
        <v>-2693.4318290720339</v>
      </c>
      <c r="K234">
        <v>859.18267988583489</v>
      </c>
      <c r="L234">
        <v>5</v>
      </c>
    </row>
    <row r="235" spans="2:12">
      <c r="B235">
        <v>366.25999999999976</v>
      </c>
      <c r="C235">
        <v>1.349999999999999</v>
      </c>
      <c r="D235">
        <v>0.27104482906586491</v>
      </c>
      <c r="E235">
        <v>0.7591202861689571</v>
      </c>
      <c r="F235">
        <v>33.954950785234679</v>
      </c>
      <c r="G235">
        <v>66.045049214765328</v>
      </c>
      <c r="H235">
        <v>0.53090210211947875</v>
      </c>
      <c r="I235">
        <v>0.39108648274179636</v>
      </c>
      <c r="J235">
        <v>-2736.3489401697457</v>
      </c>
      <c r="K235">
        <v>775.51972702916669</v>
      </c>
      <c r="L235">
        <v>5</v>
      </c>
    </row>
    <row r="236" spans="2:12">
      <c r="B236">
        <v>368.02999999999975</v>
      </c>
      <c r="C236">
        <v>1.349999999999999</v>
      </c>
      <c r="D236">
        <v>0.25400014707592056</v>
      </c>
      <c r="E236">
        <v>0.74445126389550975</v>
      </c>
      <c r="F236">
        <v>29.79944882120985</v>
      </c>
      <c r="G236">
        <v>70.20055117879015</v>
      </c>
      <c r="H236">
        <v>0.49842126057474206</v>
      </c>
      <c r="I236">
        <v>0.41910137229863959</v>
      </c>
      <c r="J236">
        <v>-2791.4558758627359</v>
      </c>
      <c r="K236">
        <v>694.85674506515772</v>
      </c>
      <c r="L236">
        <v>5</v>
      </c>
    </row>
    <row r="237" spans="2:12">
      <c r="B237">
        <v>369.79999999999973</v>
      </c>
      <c r="C237">
        <v>1.349999999999999</v>
      </c>
      <c r="D237">
        <v>0.2373575485775275</v>
      </c>
      <c r="E237">
        <v>0.72634366209810419</v>
      </c>
      <c r="F237">
        <v>25.194378710646351</v>
      </c>
      <c r="G237">
        <v>74.805621289353653</v>
      </c>
      <c r="H237">
        <v>0.46288361947231371</v>
      </c>
      <c r="I237">
        <v>0.45738791290334713</v>
      </c>
      <c r="J237">
        <v>-2866.7677533816432</v>
      </c>
      <c r="K237">
        <v>621.62128277591432</v>
      </c>
      <c r="L237">
        <v>4</v>
      </c>
    </row>
    <row r="238" spans="2:12">
      <c r="B238">
        <v>371.56999999999971</v>
      </c>
      <c r="C238">
        <v>1.349999999999999</v>
      </c>
      <c r="D238">
        <v>0.22208845914548339</v>
      </c>
      <c r="E238">
        <v>0.70381897488450307</v>
      </c>
      <c r="F238">
        <v>19.964431632665146</v>
      </c>
      <c r="G238">
        <v>80.035568367334861</v>
      </c>
      <c r="H238">
        <v>0.42309749585164991</v>
      </c>
      <c r="I238">
        <v>0.51103473222540663</v>
      </c>
      <c r="J238">
        <v>-2972.2942026833884</v>
      </c>
      <c r="K238">
        <v>560.84173534328488</v>
      </c>
      <c r="L238">
        <v>4</v>
      </c>
    </row>
    <row r="239" spans="2:12">
      <c r="B239">
        <v>373.33999999999969</v>
      </c>
      <c r="C239">
        <v>1.349999999999999</v>
      </c>
      <c r="D239">
        <v>0.20907372073250746</v>
      </c>
      <c r="E239">
        <v>0.67629343056611468</v>
      </c>
      <c r="F239">
        <v>13.853983946461856</v>
      </c>
      <c r="G239">
        <v>86.146016053538148</v>
      </c>
      <c r="H239">
        <v>0.37732447252471168</v>
      </c>
      <c r="I239">
        <v>0.58581982667503785</v>
      </c>
      <c r="J239">
        <v>-3119.400882589016</v>
      </c>
      <c r="K239">
        <v>516.61717774231067</v>
      </c>
      <c r="L239">
        <v>4</v>
      </c>
    </row>
    <row r="240" spans="2:12">
      <c r="B240">
        <v>375.10999999999967</v>
      </c>
      <c r="C240">
        <v>1.349999999999999</v>
      </c>
      <c r="D240">
        <v>0.19881390628696016</v>
      </c>
      <c r="E240">
        <v>0.64362670039396952</v>
      </c>
      <c r="F240">
        <v>6.4702315254729461</v>
      </c>
      <c r="G240">
        <v>93.52976847452706</v>
      </c>
      <c r="H240">
        <v>0.32289246689117701</v>
      </c>
      <c r="I240">
        <v>0.68876908143142512</v>
      </c>
      <c r="J240">
        <v>-3321.9081225333448</v>
      </c>
      <c r="K240">
        <v>491.59863413846455</v>
      </c>
      <c r="L240">
        <v>4</v>
      </c>
    </row>
    <row r="241" spans="2:12">
      <c r="B241">
        <v>376.87999999999965</v>
      </c>
      <c r="C241">
        <v>1.349999999999999</v>
      </c>
      <c r="D241">
        <v>0.19142781014585136</v>
      </c>
      <c r="E241">
        <v>0.60587317423622555</v>
      </c>
      <c r="F241">
        <v>-2.8253287036716666</v>
      </c>
      <c r="G241">
        <v>102.82532870367167</v>
      </c>
      <c r="H241">
        <v>0.25545749430349218</v>
      </c>
      <c r="I241">
        <v>0.83033098106686509</v>
      </c>
      <c r="J241">
        <v>-3600.3687062868221</v>
      </c>
      <c r="K241">
        <v>488.18103247541916</v>
      </c>
      <c r="L241">
        <v>4</v>
      </c>
    </row>
    <row r="242" spans="2:12">
      <c r="B242">
        <v>341.48</v>
      </c>
      <c r="C242">
        <v>1.3649999999999989</v>
      </c>
      <c r="D242">
        <v>0.51536366223594476</v>
      </c>
      <c r="E242">
        <v>0.91453949941370205</v>
      </c>
      <c r="F242">
        <v>100</v>
      </c>
      <c r="G242">
        <v>0</v>
      </c>
      <c r="H242">
        <v>1.0384884574792115</v>
      </c>
      <c r="I242">
        <v>8.883428625592632E-2</v>
      </c>
      <c r="J242">
        <v>-2141.8010901410694</v>
      </c>
      <c r="K242">
        <v>2302.6828424041732</v>
      </c>
      <c r="L242">
        <v>6</v>
      </c>
    </row>
    <row r="243" spans="2:12">
      <c r="B243">
        <v>343.25</v>
      </c>
      <c r="C243">
        <v>1.3649999999999989</v>
      </c>
      <c r="D243">
        <v>0.48446770688176971</v>
      </c>
      <c r="E243">
        <v>0.89814835819519256</v>
      </c>
      <c r="F243">
        <v>89.427243824531431</v>
      </c>
      <c r="G243">
        <v>10.572756175468569</v>
      </c>
      <c r="H243">
        <v>0.96245342133136813</v>
      </c>
      <c r="I243">
        <v>0.1253421972726548</v>
      </c>
      <c r="J243">
        <v>-2213.6142986351515</v>
      </c>
      <c r="K243">
        <v>2056.6695998002706</v>
      </c>
      <c r="L243">
        <v>5</v>
      </c>
    </row>
    <row r="244" spans="2:12">
      <c r="B244">
        <v>345.02</v>
      </c>
      <c r="C244">
        <v>1.3649999999999989</v>
      </c>
      <c r="D244">
        <v>0.46015105248370719</v>
      </c>
      <c r="E244">
        <v>0.88358427199191591</v>
      </c>
      <c r="F244">
        <v>81.713971208586088</v>
      </c>
      <c r="G244">
        <v>18.286028791413912</v>
      </c>
      <c r="H244">
        <v>0.90589083312222207</v>
      </c>
      <c r="I244">
        <v>0.15685053734145307</v>
      </c>
      <c r="J244">
        <v>-2275.5930569822467</v>
      </c>
      <c r="K244">
        <v>1882.216739433135</v>
      </c>
      <c r="L244">
        <v>5</v>
      </c>
    </row>
    <row r="245" spans="2:12">
      <c r="B245">
        <v>346.78999999999996</v>
      </c>
      <c r="C245">
        <v>1.3649999999999989</v>
      </c>
      <c r="D245">
        <v>0.4398733141304616</v>
      </c>
      <c r="E245">
        <v>0.87059481660037097</v>
      </c>
      <c r="F245">
        <v>75.630504965990738</v>
      </c>
      <c r="G245">
        <v>24.369495034009262</v>
      </c>
      <c r="H245">
        <v>0.86040472666270262</v>
      </c>
      <c r="I245">
        <v>0.18435388747553036</v>
      </c>
      <c r="J245">
        <v>-2329.6937645401022</v>
      </c>
      <c r="K245">
        <v>1746.1855219901993</v>
      </c>
      <c r="L245">
        <v>5</v>
      </c>
    </row>
    <row r="246" spans="2:12">
      <c r="B246">
        <v>348.55999999999995</v>
      </c>
      <c r="C246">
        <v>1.3649999999999989</v>
      </c>
      <c r="D246">
        <v>0.42216449377067899</v>
      </c>
      <c r="E246">
        <v>0.85882935932371374</v>
      </c>
      <c r="F246">
        <v>70.553912256238732</v>
      </c>
      <c r="G246">
        <v>29.446087743761268</v>
      </c>
      <c r="H246">
        <v>0.82175001386763147</v>
      </c>
      <c r="I246">
        <v>0.20878858792730864</v>
      </c>
      <c r="J246">
        <v>-2377.7582576640707</v>
      </c>
      <c r="K246">
        <v>1632.6733156307705</v>
      </c>
      <c r="L246">
        <v>5</v>
      </c>
    </row>
    <row r="247" spans="2:12">
      <c r="B247">
        <v>350.32999999999993</v>
      </c>
      <c r="C247">
        <v>1.3649999999999989</v>
      </c>
      <c r="D247">
        <v>0.40611952486378955</v>
      </c>
      <c r="E247">
        <v>0.84798551286840074</v>
      </c>
      <c r="F247">
        <v>66.132873808015972</v>
      </c>
      <c r="G247">
        <v>33.867126191984028</v>
      </c>
      <c r="H247">
        <v>0.78753631715317551</v>
      </c>
      <c r="I247">
        <v>0.23087200622134008</v>
      </c>
      <c r="J247">
        <v>-2421.1976404730362</v>
      </c>
      <c r="K247">
        <v>1533.0994461733098</v>
      </c>
      <c r="L247">
        <v>5</v>
      </c>
    </row>
    <row r="248" spans="2:12">
      <c r="B248">
        <v>352.09999999999991</v>
      </c>
      <c r="C248">
        <v>1.3649999999999989</v>
      </c>
      <c r="D248">
        <v>0.39113868006232605</v>
      </c>
      <c r="E248">
        <v>0.83782130671619526</v>
      </c>
      <c r="F248">
        <v>62.150411207631038</v>
      </c>
      <c r="G248">
        <v>37.849588792368962</v>
      </c>
      <c r="H248">
        <v>0.75628933510765406</v>
      </c>
      <c r="I248">
        <v>0.25113735477948446</v>
      </c>
      <c r="J248">
        <v>-2461.060773166233</v>
      </c>
      <c r="K248">
        <v>1442.350193916227</v>
      </c>
      <c r="L248">
        <v>5</v>
      </c>
    </row>
    <row r="249" spans="2:12">
      <c r="B249">
        <v>353.86999999999989</v>
      </c>
      <c r="C249">
        <v>1.3649999999999989</v>
      </c>
      <c r="D249">
        <v>0.3767935510194928</v>
      </c>
      <c r="E249">
        <v>0.82814083653990911</v>
      </c>
      <c r="F249">
        <v>58.461547270721063</v>
      </c>
      <c r="G249">
        <v>41.538452729278937</v>
      </c>
      <c r="H249">
        <v>0.72702516901492686</v>
      </c>
      <c r="I249">
        <v>0.26998980024790381</v>
      </c>
      <c r="J249">
        <v>-2498.1446423699945</v>
      </c>
      <c r="K249">
        <v>1357.1098488523887</v>
      </c>
      <c r="L249">
        <v>5</v>
      </c>
    </row>
    <row r="250" spans="2:12">
      <c r="B250">
        <v>355.63999999999987</v>
      </c>
      <c r="C250">
        <v>1.3649999999999989</v>
      </c>
      <c r="D250">
        <v>0.36275387907871326</v>
      </c>
      <c r="E250">
        <v>0.81877638868616598</v>
      </c>
      <c r="F250">
        <v>54.961955955501061</v>
      </c>
      <c r="G250">
        <v>45.038044044498939</v>
      </c>
      <c r="H250">
        <v>0.69903652115894643</v>
      </c>
      <c r="I250">
        <v>0.28775687284996559</v>
      </c>
      <c r="J250">
        <v>-2533.0935193001678</v>
      </c>
      <c r="K250">
        <v>1275.0661777445639</v>
      </c>
      <c r="L250">
        <v>5</v>
      </c>
    </row>
    <row r="251" spans="2:12">
      <c r="B251">
        <v>357.40999999999985</v>
      </c>
      <c r="C251">
        <v>1.3649999999999989</v>
      </c>
      <c r="D251">
        <v>0.34874600854954707</v>
      </c>
      <c r="E251">
        <v>0.80957065784837501</v>
      </c>
      <c r="F251">
        <v>51.570749368101026</v>
      </c>
      <c r="G251">
        <v>48.429250631898974</v>
      </c>
      <c r="H251">
        <v>0.67177538857655539</v>
      </c>
      <c r="I251">
        <v>0.30473487554386808</v>
      </c>
      <c r="J251">
        <v>-2566.490249305115</v>
      </c>
      <c r="K251">
        <v>1194.5113735551163</v>
      </c>
      <c r="L251">
        <v>5</v>
      </c>
    </row>
    <row r="252" spans="2:12">
      <c r="B252">
        <v>359.17999999999984</v>
      </c>
      <c r="C252">
        <v>1.3649999999999989</v>
      </c>
      <c r="D252">
        <v>0.33452980476923044</v>
      </c>
      <c r="E252">
        <v>0.80035691110996421</v>
      </c>
      <c r="F252">
        <v>48.220026625437633</v>
      </c>
      <c r="G252">
        <v>51.779973374562367</v>
      </c>
      <c r="H252">
        <v>0.64478195240588942</v>
      </c>
      <c r="I252">
        <v>0.3212416942962909</v>
      </c>
      <c r="J252">
        <v>-2598.9601327804689</v>
      </c>
      <c r="K252">
        <v>1114.1486938370867</v>
      </c>
      <c r="L252">
        <v>5</v>
      </c>
    </row>
    <row r="253" spans="2:12">
      <c r="B253">
        <v>360.94999999999982</v>
      </c>
      <c r="C253">
        <v>1.3649999999999989</v>
      </c>
      <c r="D253">
        <v>0.31989050610783232</v>
      </c>
      <c r="E253">
        <v>0.79093287322213623</v>
      </c>
      <c r="F253">
        <v>44.847780631536459</v>
      </c>
      <c r="G253">
        <v>55.152219368463541</v>
      </c>
      <c r="H253">
        <v>0.61763631794831308</v>
      </c>
      <c r="I253">
        <v>0.33769176168237169</v>
      </c>
      <c r="J253">
        <v>-2631.3183829799127</v>
      </c>
      <c r="K253">
        <v>1033.0381920038612</v>
      </c>
      <c r="L253">
        <v>5</v>
      </c>
    </row>
    <row r="254" spans="2:12">
      <c r="B254">
        <v>362.7199999999998</v>
      </c>
      <c r="C254">
        <v>1.3649999999999989</v>
      </c>
      <c r="D254">
        <v>0.30464945598181481</v>
      </c>
      <c r="E254">
        <v>0.78102221000434957</v>
      </c>
      <c r="F254">
        <v>41.392356534864177</v>
      </c>
      <c r="G254">
        <v>58.607643465135823</v>
      </c>
      <c r="H254">
        <v>0.58992082908053112</v>
      </c>
      <c r="I254">
        <v>0.35471757897316025</v>
      </c>
      <c r="J254">
        <v>-2664.8091671095576</v>
      </c>
      <c r="K254">
        <v>950.67823266617802</v>
      </c>
      <c r="L254">
        <v>5</v>
      </c>
    </row>
    <row r="255" spans="2:12">
      <c r="B255">
        <v>364.48999999999978</v>
      </c>
      <c r="C255">
        <v>1.3649999999999989</v>
      </c>
      <c r="D255">
        <v>0.2887049896776317</v>
      </c>
      <c r="E255">
        <v>0.77021708062741057</v>
      </c>
      <c r="F255">
        <v>37.787208981589885</v>
      </c>
      <c r="G255">
        <v>62.212791018410115</v>
      </c>
      <c r="H255">
        <v>0.5611844140702873</v>
      </c>
      <c r="I255">
        <v>0.37337155754068191</v>
      </c>
      <c r="J255">
        <v>-2701.5026402447297</v>
      </c>
      <c r="K255">
        <v>867.2534910585307</v>
      </c>
      <c r="L255">
        <v>5</v>
      </c>
    </row>
    <row r="256" spans="2:12">
      <c r="B256">
        <v>366.25999999999976</v>
      </c>
      <c r="C256">
        <v>1.3649999999999989</v>
      </c>
      <c r="D256">
        <v>0.2721188510043287</v>
      </c>
      <c r="E256">
        <v>0.75790476056667</v>
      </c>
      <c r="F256">
        <v>33.954950785234679</v>
      </c>
      <c r="G256">
        <v>66.045049214765328</v>
      </c>
      <c r="H256">
        <v>0.53090210211947875</v>
      </c>
      <c r="I256">
        <v>0.39543188810559404</v>
      </c>
      <c r="J256">
        <v>-2744.8966081324156</v>
      </c>
      <c r="K256">
        <v>784.06739499183686</v>
      </c>
      <c r="L256">
        <v>5</v>
      </c>
    </row>
    <row r="257" spans="2:12">
      <c r="B257">
        <v>368.02999999999975</v>
      </c>
      <c r="C257">
        <v>1.3649999999999989</v>
      </c>
      <c r="D257">
        <v>0.25524236000316175</v>
      </c>
      <c r="E257">
        <v>0.74321687079940835</v>
      </c>
      <c r="F257">
        <v>29.79944882120985</v>
      </c>
      <c r="G257">
        <v>70.20055117879015</v>
      </c>
      <c r="H257">
        <v>0.49842126057474206</v>
      </c>
      <c r="I257">
        <v>0.42375805421306889</v>
      </c>
      <c r="J257">
        <v>-2800.6158431108838</v>
      </c>
      <c r="K257">
        <v>704.01671231330579</v>
      </c>
      <c r="L257">
        <v>4</v>
      </c>
    </row>
    <row r="258" spans="2:12">
      <c r="B258">
        <v>369.79999999999973</v>
      </c>
      <c r="C258">
        <v>1.3649999999999989</v>
      </c>
      <c r="D258">
        <v>0.23879999393104195</v>
      </c>
      <c r="E258">
        <v>0.72510057149366236</v>
      </c>
      <c r="F258">
        <v>25.194378710646351</v>
      </c>
      <c r="G258">
        <v>74.805621289353653</v>
      </c>
      <c r="H258">
        <v>0.46288361947231371</v>
      </c>
      <c r="I258">
        <v>0.46247000082449535</v>
      </c>
      <c r="J258">
        <v>-2876.7645192688897</v>
      </c>
      <c r="K258">
        <v>631.61804866316129</v>
      </c>
      <c r="L258">
        <v>4</v>
      </c>
    </row>
    <row r="259" spans="2:12">
      <c r="B259">
        <v>371.56999999999971</v>
      </c>
      <c r="C259">
        <v>1.3649999999999989</v>
      </c>
      <c r="D259">
        <v>0.22376755019887112</v>
      </c>
      <c r="E259">
        <v>0.70258753765743798</v>
      </c>
      <c r="F259">
        <v>19.964431632665146</v>
      </c>
      <c r="G259">
        <v>80.035568367334861</v>
      </c>
      <c r="H259">
        <v>0.42309749585164991</v>
      </c>
      <c r="I259">
        <v>0.51671289591679992</v>
      </c>
      <c r="J259">
        <v>-2983.4634846739878</v>
      </c>
      <c r="K259">
        <v>572.01101733388441</v>
      </c>
      <c r="L259">
        <v>4</v>
      </c>
    </row>
    <row r="260" spans="2:12">
      <c r="B260">
        <v>373.33999999999969</v>
      </c>
      <c r="C260">
        <v>1.3649999999999989</v>
      </c>
      <c r="D260">
        <v>0.21102665659623304</v>
      </c>
      <c r="E260">
        <v>0.6751100044281988</v>
      </c>
      <c r="F260">
        <v>13.853983946461856</v>
      </c>
      <c r="G260">
        <v>86.146016053538148</v>
      </c>
      <c r="H260">
        <v>0.37732447252471168</v>
      </c>
      <c r="I260">
        <v>0.5923289358603161</v>
      </c>
      <c r="J260">
        <v>-3132.2046832452338</v>
      </c>
      <c r="K260">
        <v>529.42097839852852</v>
      </c>
      <c r="L260">
        <v>4</v>
      </c>
    </row>
    <row r="261" spans="2:12">
      <c r="B261">
        <v>375.10999999999967</v>
      </c>
      <c r="C261">
        <v>1.3649999999999989</v>
      </c>
      <c r="D261">
        <v>0.20107520445842003</v>
      </c>
      <c r="E261">
        <v>0.6425483544751065</v>
      </c>
      <c r="F261">
        <v>6.4702315254729461</v>
      </c>
      <c r="G261">
        <v>93.52976847452706</v>
      </c>
      <c r="H261">
        <v>0.32289246689117701</v>
      </c>
      <c r="I261">
        <v>0.69642207122510758</v>
      </c>
      <c r="J261">
        <v>-3336.9620036333881</v>
      </c>
      <c r="K261">
        <v>506.65251523850833</v>
      </c>
      <c r="L261">
        <v>4</v>
      </c>
    </row>
    <row r="262" spans="2:12">
      <c r="B262">
        <v>376.87999999999965</v>
      </c>
      <c r="C262">
        <v>1.3649999999999989</v>
      </c>
      <c r="D262">
        <v>0.19402764460103433</v>
      </c>
      <c r="E262">
        <v>0.6049811537129598</v>
      </c>
      <c r="F262">
        <v>-2.8253287036716666</v>
      </c>
      <c r="G262">
        <v>102.82532870367167</v>
      </c>
      <c r="H262">
        <v>0.25545749430349218</v>
      </c>
      <c r="I262">
        <v>0.83955688085649682</v>
      </c>
      <c r="J262">
        <v>-3618.5165938730152</v>
      </c>
      <c r="K262">
        <v>506.32892006161251</v>
      </c>
      <c r="L262">
        <v>4</v>
      </c>
    </row>
    <row r="263" spans="2:12">
      <c r="B263">
        <v>341.48</v>
      </c>
      <c r="C263">
        <v>1.3799999999999988</v>
      </c>
      <c r="D263">
        <v>0.51535036964030057</v>
      </c>
      <c r="E263">
        <v>0.9141808410508957</v>
      </c>
      <c r="F263">
        <v>100</v>
      </c>
      <c r="G263">
        <v>0</v>
      </c>
      <c r="H263">
        <v>1.0384884574792115</v>
      </c>
      <c r="I263">
        <v>8.9810487203793629E-2</v>
      </c>
      <c r="J263">
        <v>-2143.7213348291093</v>
      </c>
      <c r="K263">
        <v>2304.6030870922136</v>
      </c>
      <c r="L263">
        <v>6</v>
      </c>
    </row>
    <row r="264" spans="2:12">
      <c r="B264">
        <v>343.25</v>
      </c>
      <c r="C264">
        <v>1.3799999999999988</v>
      </c>
      <c r="D264">
        <v>0.48448734928490333</v>
      </c>
      <c r="E264">
        <v>0.89764485298194852</v>
      </c>
      <c r="F264">
        <v>89.427243824531431</v>
      </c>
      <c r="G264">
        <v>10.572756175468569</v>
      </c>
      <c r="H264">
        <v>0.96245342133136813</v>
      </c>
      <c r="I264">
        <v>0.12671958405587078</v>
      </c>
      <c r="J264">
        <v>-2216.3236994604895</v>
      </c>
      <c r="K264">
        <v>2059.3790006256081</v>
      </c>
      <c r="L264">
        <v>5</v>
      </c>
    </row>
    <row r="265" spans="2:12">
      <c r="B265">
        <v>345.02</v>
      </c>
      <c r="C265">
        <v>1.3799999999999988</v>
      </c>
      <c r="D265">
        <v>0.46021557779174976</v>
      </c>
      <c r="E265">
        <v>0.88296315412423754</v>
      </c>
      <c r="F265">
        <v>81.713971208586088</v>
      </c>
      <c r="G265">
        <v>18.286028791413912</v>
      </c>
      <c r="H265">
        <v>0.90589083312222207</v>
      </c>
      <c r="I265">
        <v>0.15857416961993057</v>
      </c>
      <c r="J265">
        <v>-2278.983543064146</v>
      </c>
      <c r="K265">
        <v>1885.6072255150341</v>
      </c>
      <c r="L265">
        <v>5</v>
      </c>
    </row>
    <row r="266" spans="2:12">
      <c r="B266">
        <v>346.78999999999996</v>
      </c>
      <c r="C266">
        <v>1.3799999999999988</v>
      </c>
      <c r="D266">
        <v>0.43998967873524542</v>
      </c>
      <c r="E266">
        <v>0.86987759564024325</v>
      </c>
      <c r="F266">
        <v>75.630504965990738</v>
      </c>
      <c r="G266">
        <v>24.369495034009262</v>
      </c>
      <c r="H266">
        <v>0.86040472666270262</v>
      </c>
      <c r="I266">
        <v>0.18637975437086585</v>
      </c>
      <c r="J266">
        <v>-2333.6787638918681</v>
      </c>
      <c r="K266">
        <v>1750.170521341965</v>
      </c>
      <c r="L266">
        <v>5</v>
      </c>
    </row>
    <row r="267" spans="2:12">
      <c r="B267">
        <v>348.55999999999995</v>
      </c>
      <c r="C267">
        <v>1.3799999999999988</v>
      </c>
      <c r="D267">
        <v>0.42233740094802097</v>
      </c>
      <c r="E267">
        <v>0.85803224018524116</v>
      </c>
      <c r="F267">
        <v>70.553912256238732</v>
      </c>
      <c r="G267">
        <v>29.446087743761268</v>
      </c>
      <c r="H267">
        <v>0.82175001386763147</v>
      </c>
      <c r="I267">
        <v>0.21108296801442189</v>
      </c>
      <c r="J267">
        <v>-2382.271438258957</v>
      </c>
      <c r="K267">
        <v>1637.1864962256566</v>
      </c>
      <c r="L267">
        <v>5</v>
      </c>
    </row>
    <row r="268" spans="2:12">
      <c r="B268">
        <v>350.32999999999993</v>
      </c>
      <c r="C268">
        <v>1.3799999999999988</v>
      </c>
      <c r="D268">
        <v>0.40635281837306891</v>
      </c>
      <c r="E268">
        <v>0.84712076690969451</v>
      </c>
      <c r="F268">
        <v>66.132873808015972</v>
      </c>
      <c r="G268">
        <v>33.867126191984028</v>
      </c>
      <c r="H268">
        <v>0.78753631715317551</v>
      </c>
      <c r="I268">
        <v>0.23340906123476138</v>
      </c>
      <c r="J268">
        <v>-2426.1881769229662</v>
      </c>
      <c r="K268">
        <v>1538.0899826232396</v>
      </c>
      <c r="L268">
        <v>5</v>
      </c>
    </row>
    <row r="269" spans="2:12">
      <c r="B269">
        <v>352.09999999999991</v>
      </c>
      <c r="C269">
        <v>1.3799999999999988</v>
      </c>
      <c r="D269">
        <v>0.3914360807606907</v>
      </c>
      <c r="E269">
        <v>0.83689840505932211</v>
      </c>
      <c r="F269">
        <v>62.150411207631038</v>
      </c>
      <c r="G269">
        <v>37.849588792368962</v>
      </c>
      <c r="H269">
        <v>0.75628933510765406</v>
      </c>
      <c r="I269">
        <v>0.25389710593090736</v>
      </c>
      <c r="J269">
        <v>-2466.4893660193852</v>
      </c>
      <c r="K269">
        <v>1447.7787867693789</v>
      </c>
      <c r="L269">
        <v>5</v>
      </c>
    </row>
    <row r="270" spans="2:12">
      <c r="B270">
        <v>353.86999999999989</v>
      </c>
      <c r="C270">
        <v>1.3799999999999988</v>
      </c>
      <c r="D270">
        <v>0.37715910142581605</v>
      </c>
      <c r="E270">
        <v>0.82716725100829969</v>
      </c>
      <c r="F270">
        <v>58.461547270721063</v>
      </c>
      <c r="G270">
        <v>41.538452729278937</v>
      </c>
      <c r="H270">
        <v>0.72702516901492686</v>
      </c>
      <c r="I270">
        <v>0.27295672112974889</v>
      </c>
      <c r="J270">
        <v>-2503.9807502693416</v>
      </c>
      <c r="K270">
        <v>1362.945956751736</v>
      </c>
      <c r="L270">
        <v>5</v>
      </c>
    </row>
    <row r="271" spans="2:12">
      <c r="B271">
        <v>355.63999999999987</v>
      </c>
      <c r="C271">
        <v>1.3799999999999988</v>
      </c>
      <c r="D271">
        <v>0.36319227720912206</v>
      </c>
      <c r="E271">
        <v>0.81775813788329887</v>
      </c>
      <c r="F271">
        <v>54.961955955501061</v>
      </c>
      <c r="G271">
        <v>45.038044044498939</v>
      </c>
      <c r="H271">
        <v>0.69903652115894643</v>
      </c>
      <c r="I271">
        <v>0.2909190362878773</v>
      </c>
      <c r="J271">
        <v>-2539.3136807921542</v>
      </c>
      <c r="K271">
        <v>1281.2863392365502</v>
      </c>
      <c r="L271">
        <v>5</v>
      </c>
    </row>
    <row r="272" spans="2:12">
      <c r="B272">
        <v>357.40999999999985</v>
      </c>
      <c r="C272">
        <v>1.3799999999999988</v>
      </c>
      <c r="D272">
        <v>0.34926292937167647</v>
      </c>
      <c r="E272">
        <v>0.80851267903123725</v>
      </c>
      <c r="F272">
        <v>51.570749368101026</v>
      </c>
      <c r="G272">
        <v>48.429250631898974</v>
      </c>
      <c r="H272">
        <v>0.67177538857655539</v>
      </c>
      <c r="I272">
        <v>0.30808361043995452</v>
      </c>
      <c r="J272">
        <v>-2573.0774078301224</v>
      </c>
      <c r="K272">
        <v>1201.098532080124</v>
      </c>
      <c r="L272">
        <v>5</v>
      </c>
    </row>
    <row r="273" spans="2:12">
      <c r="B273">
        <v>359.17999999999984</v>
      </c>
      <c r="C273">
        <v>1.3799999999999988</v>
      </c>
      <c r="D273">
        <v>0.3351322788851252</v>
      </c>
      <c r="E273">
        <v>0.79926331679697327</v>
      </c>
      <c r="F273">
        <v>48.220026625437633</v>
      </c>
      <c r="G273">
        <v>51.779973374562367</v>
      </c>
      <c r="H273">
        <v>0.64478195240588942</v>
      </c>
      <c r="I273">
        <v>0.32477182280504135</v>
      </c>
      <c r="J273">
        <v>-2605.9041032117993</v>
      </c>
      <c r="K273">
        <v>1121.0926642684171</v>
      </c>
      <c r="L273">
        <v>5</v>
      </c>
    </row>
    <row r="274" spans="2:12">
      <c r="B274">
        <v>360.94999999999982</v>
      </c>
      <c r="C274">
        <v>1.3799999999999988</v>
      </c>
      <c r="D274">
        <v>0.32058742047980016</v>
      </c>
      <c r="E274">
        <v>0.78980713966836924</v>
      </c>
      <c r="F274">
        <v>44.847780631536459</v>
      </c>
      <c r="G274">
        <v>55.152219368463541</v>
      </c>
      <c r="H274">
        <v>0.61763631794831308</v>
      </c>
      <c r="I274">
        <v>0.34140266016239773</v>
      </c>
      <c r="J274">
        <v>-2638.6179385782698</v>
      </c>
      <c r="K274">
        <v>1040.3377476022183</v>
      </c>
      <c r="L274">
        <v>5</v>
      </c>
    </row>
    <row r="275" spans="2:12">
      <c r="B275">
        <v>362.7199999999998</v>
      </c>
      <c r="C275">
        <v>1.3799999999999988</v>
      </c>
      <c r="D275">
        <v>0.30545224595804504</v>
      </c>
      <c r="E275">
        <v>0.77986735366942916</v>
      </c>
      <c r="F275">
        <v>41.392356534864177</v>
      </c>
      <c r="G275">
        <v>58.607643465135823</v>
      </c>
      <c r="H275">
        <v>0.58992082908053112</v>
      </c>
      <c r="I275">
        <v>0.35861557434649166</v>
      </c>
      <c r="J275">
        <v>-2672.4767533027461</v>
      </c>
      <c r="K275">
        <v>958.34581885936632</v>
      </c>
      <c r="L275">
        <v>5</v>
      </c>
    </row>
    <row r="276" spans="2:12">
      <c r="B276">
        <v>364.48999999999978</v>
      </c>
      <c r="C276">
        <v>1.3799999999999988</v>
      </c>
      <c r="D276">
        <v>0.28962858399562463</v>
      </c>
      <c r="E276">
        <v>0.76903593129543457</v>
      </c>
      <c r="F276">
        <v>37.787208981589885</v>
      </c>
      <c r="G276">
        <v>62.212791018410115</v>
      </c>
      <c r="H276">
        <v>0.5611844140702873</v>
      </c>
      <c r="I276">
        <v>0.37747454168948058</v>
      </c>
      <c r="J276">
        <v>-2709.5734514174255</v>
      </c>
      <c r="K276">
        <v>875.32430223122651</v>
      </c>
      <c r="L276">
        <v>5</v>
      </c>
    </row>
    <row r="277" spans="2:12">
      <c r="B277">
        <v>366.25999999999976</v>
      </c>
      <c r="C277">
        <v>1.3799999999999988</v>
      </c>
      <c r="D277">
        <v>0.27318284357991118</v>
      </c>
      <c r="E277">
        <v>0.75670058570771515</v>
      </c>
      <c r="F277">
        <v>33.954950785234679</v>
      </c>
      <c r="G277">
        <v>66.045049214765328</v>
      </c>
      <c r="H277">
        <v>0.53090210211947875</v>
      </c>
      <c r="I277">
        <v>0.39977729346939178</v>
      </c>
      <c r="J277">
        <v>-2753.444276095086</v>
      </c>
      <c r="K277">
        <v>792.61506295450738</v>
      </c>
      <c r="L277">
        <v>4</v>
      </c>
    </row>
    <row r="278" spans="2:12">
      <c r="B278">
        <v>368.02999999999975</v>
      </c>
      <c r="C278">
        <v>1.3799999999999988</v>
      </c>
      <c r="D278">
        <v>0.2564720904836858</v>
      </c>
      <c r="E278">
        <v>0.74199488157200943</v>
      </c>
      <c r="F278">
        <v>29.79944882120985</v>
      </c>
      <c r="G278">
        <v>70.20055117879015</v>
      </c>
      <c r="H278">
        <v>0.49842126057474206</v>
      </c>
      <c r="I278">
        <v>0.42841473612749814</v>
      </c>
      <c r="J278">
        <v>-2809.7758103590318</v>
      </c>
      <c r="K278">
        <v>713.17667956145362</v>
      </c>
      <c r="L278">
        <v>4</v>
      </c>
    </row>
    <row r="279" spans="2:12">
      <c r="B279">
        <v>369.79999999999973</v>
      </c>
      <c r="C279">
        <v>1.3799999999999988</v>
      </c>
      <c r="D279">
        <v>0.2402266818624299</v>
      </c>
      <c r="E279">
        <v>0.72387106053946371</v>
      </c>
      <c r="F279">
        <v>25.194378710646351</v>
      </c>
      <c r="G279">
        <v>74.805621289353653</v>
      </c>
      <c r="H279">
        <v>0.46288361947231371</v>
      </c>
      <c r="I279">
        <v>0.46755208874564363</v>
      </c>
      <c r="J279">
        <v>-2886.7612851561366</v>
      </c>
      <c r="K279">
        <v>641.61481455040825</v>
      </c>
      <c r="L279">
        <v>4</v>
      </c>
    </row>
    <row r="280" spans="2:12">
      <c r="B280">
        <v>371.56999999999971</v>
      </c>
      <c r="C280">
        <v>1.3799999999999988</v>
      </c>
      <c r="D280">
        <v>0.22542647357534984</v>
      </c>
      <c r="E280">
        <v>0.70137089130671004</v>
      </c>
      <c r="F280">
        <v>19.964431632665146</v>
      </c>
      <c r="G280">
        <v>80.035568367334861</v>
      </c>
      <c r="H280">
        <v>0.42309749585164991</v>
      </c>
      <c r="I280">
        <v>0.52239105960819332</v>
      </c>
      <c r="J280">
        <v>-2994.6327666645875</v>
      </c>
      <c r="K280">
        <v>583.18029932448417</v>
      </c>
      <c r="L280">
        <v>4</v>
      </c>
    </row>
    <row r="281" spans="2:12">
      <c r="B281">
        <v>373.33999999999969</v>
      </c>
      <c r="C281">
        <v>1.3799999999999988</v>
      </c>
      <c r="D281">
        <v>0.2129535478771355</v>
      </c>
      <c r="E281">
        <v>0.67394236060071944</v>
      </c>
      <c r="F281">
        <v>13.853983946461856</v>
      </c>
      <c r="G281">
        <v>86.146016053538148</v>
      </c>
      <c r="H281">
        <v>0.37732447252471168</v>
      </c>
      <c r="I281">
        <v>0.59883804504559424</v>
      </c>
      <c r="J281">
        <v>-3145.0084839014517</v>
      </c>
      <c r="K281">
        <v>542.22477905474636</v>
      </c>
      <c r="L281">
        <v>4</v>
      </c>
    </row>
    <row r="282" spans="2:12">
      <c r="B282">
        <v>375.10999999999967</v>
      </c>
      <c r="C282">
        <v>1.3799999999999988</v>
      </c>
      <c r="D282">
        <v>0.2033028001196131</v>
      </c>
      <c r="E282">
        <v>0.64148608028214893</v>
      </c>
      <c r="F282">
        <v>6.4702315254729461</v>
      </c>
      <c r="G282">
        <v>93.52976847452706</v>
      </c>
      <c r="H282">
        <v>0.32289246689117701</v>
      </c>
      <c r="I282">
        <v>0.70407506101879003</v>
      </c>
      <c r="J282">
        <v>-3352.0158847334319</v>
      </c>
      <c r="K282">
        <v>521.70639633855183</v>
      </c>
      <c r="L282">
        <v>4</v>
      </c>
    </row>
    <row r="283" spans="2:12">
      <c r="B283">
        <v>376.87999999999965</v>
      </c>
      <c r="C283">
        <v>1.3799999999999988</v>
      </c>
      <c r="D283">
        <v>0.19658403595294119</v>
      </c>
      <c r="E283">
        <v>0.60410403880787278</v>
      </c>
      <c r="F283">
        <v>-2.8253287036716666</v>
      </c>
      <c r="G283">
        <v>102.82532870367167</v>
      </c>
      <c r="H283">
        <v>0.25545749430349218</v>
      </c>
      <c r="I283">
        <v>0.84878278064612867</v>
      </c>
      <c r="J283">
        <v>-3636.6644814592087</v>
      </c>
      <c r="K283">
        <v>524.4768076478058</v>
      </c>
      <c r="L283">
        <v>4</v>
      </c>
    </row>
    <row r="284" spans="2:12">
      <c r="B284">
        <v>341.48</v>
      </c>
      <c r="C284">
        <v>1.3949999999999987</v>
      </c>
      <c r="D284">
        <v>0.51533710002620259</v>
      </c>
      <c r="E284">
        <v>0.91382280277192829</v>
      </c>
      <c r="F284">
        <v>100</v>
      </c>
      <c r="G284">
        <v>0</v>
      </c>
      <c r="H284">
        <v>1.0384884574792115</v>
      </c>
      <c r="I284">
        <v>9.0786688151660952E-2</v>
      </c>
      <c r="J284">
        <v>-2145.6415795171497</v>
      </c>
      <c r="K284">
        <v>2306.5233317802536</v>
      </c>
      <c r="L284">
        <v>6</v>
      </c>
    </row>
    <row r="285" spans="2:12">
      <c r="B285">
        <v>343.25</v>
      </c>
      <c r="C285">
        <v>1.3949999999999987</v>
      </c>
      <c r="D285">
        <v>0.48450694207054723</v>
      </c>
      <c r="E285">
        <v>0.89714261964285347</v>
      </c>
      <c r="F285">
        <v>89.427243824531431</v>
      </c>
      <c r="G285">
        <v>10.572756175468569</v>
      </c>
      <c r="H285">
        <v>0.96245342133136813</v>
      </c>
      <c r="I285">
        <v>0.12809697083908675</v>
      </c>
      <c r="J285">
        <v>-2219.0331002858275</v>
      </c>
      <c r="K285">
        <v>2062.0884014509461</v>
      </c>
      <c r="L285">
        <v>5</v>
      </c>
    </row>
    <row r="286" spans="2:12">
      <c r="B286">
        <v>345.02</v>
      </c>
      <c r="C286">
        <v>1.3949999999999987</v>
      </c>
      <c r="D286">
        <v>0.4602798944727256</v>
      </c>
      <c r="E286">
        <v>0.88234404449181925</v>
      </c>
      <c r="F286">
        <v>81.713971208586088</v>
      </c>
      <c r="G286">
        <v>18.286028791413912</v>
      </c>
      <c r="H286">
        <v>0.90589083312222207</v>
      </c>
      <c r="I286">
        <v>0.16029780189840806</v>
      </c>
      <c r="J286">
        <v>-2282.3740291460454</v>
      </c>
      <c r="K286">
        <v>1888.9977115969334</v>
      </c>
      <c r="L286">
        <v>5</v>
      </c>
    </row>
    <row r="287" spans="2:12">
      <c r="B287">
        <v>346.78999999999996</v>
      </c>
      <c r="C287">
        <v>1.3949999999999987</v>
      </c>
      <c r="D287">
        <v>0.44010559380365488</v>
      </c>
      <c r="E287">
        <v>0.86916314542737727</v>
      </c>
      <c r="F287">
        <v>75.630504965990738</v>
      </c>
      <c r="G287">
        <v>24.369495034009262</v>
      </c>
      <c r="H287">
        <v>0.86040472666270262</v>
      </c>
      <c r="I287">
        <v>0.18840562126620133</v>
      </c>
      <c r="J287">
        <v>-2337.6637632436336</v>
      </c>
      <c r="K287">
        <v>1754.1555206937308</v>
      </c>
      <c r="L287">
        <v>5</v>
      </c>
    </row>
    <row r="288" spans="2:12">
      <c r="B288">
        <v>348.55999999999995</v>
      </c>
      <c r="C288">
        <v>1.3949999999999987</v>
      </c>
      <c r="D288">
        <v>0.42250954162106757</v>
      </c>
      <c r="E288">
        <v>0.85723865470715765</v>
      </c>
      <c r="F288">
        <v>70.553912256238732</v>
      </c>
      <c r="G288">
        <v>29.446087743761268</v>
      </c>
      <c r="H288">
        <v>0.82175001386763147</v>
      </c>
      <c r="I288">
        <v>0.21337734810153516</v>
      </c>
      <c r="J288">
        <v>-2386.7846188538433</v>
      </c>
      <c r="K288">
        <v>1641.6996768205429</v>
      </c>
      <c r="L288">
        <v>5</v>
      </c>
    </row>
    <row r="289" spans="2:12">
      <c r="B289">
        <v>350.32999999999993</v>
      </c>
      <c r="C289">
        <v>1.3949999999999987</v>
      </c>
      <c r="D289">
        <v>0.40658495528513083</v>
      </c>
      <c r="E289">
        <v>0.84626030809456454</v>
      </c>
      <c r="F289">
        <v>66.132873808015972</v>
      </c>
      <c r="G289">
        <v>33.867126191984028</v>
      </c>
      <c r="H289">
        <v>0.78753631715317551</v>
      </c>
      <c r="I289">
        <v>0.23594611624818271</v>
      </c>
      <c r="J289">
        <v>-2431.1787133728963</v>
      </c>
      <c r="K289">
        <v>1543.0805190731699</v>
      </c>
      <c r="L289">
        <v>5</v>
      </c>
    </row>
    <row r="290" spans="2:12">
      <c r="B290">
        <v>352.09999999999991</v>
      </c>
      <c r="C290">
        <v>1.3949999999999987</v>
      </c>
      <c r="D290">
        <v>0.39173186093483392</v>
      </c>
      <c r="E290">
        <v>0.83598053225576785</v>
      </c>
      <c r="F290">
        <v>62.150411207631038</v>
      </c>
      <c r="G290">
        <v>37.849588792368962</v>
      </c>
      <c r="H290">
        <v>0.75628933510765406</v>
      </c>
      <c r="I290">
        <v>0.25665685708233027</v>
      </c>
      <c r="J290">
        <v>-2471.9179588725369</v>
      </c>
      <c r="K290">
        <v>1453.2073796225309</v>
      </c>
      <c r="L290">
        <v>5</v>
      </c>
    </row>
    <row r="291" spans="2:12">
      <c r="B291">
        <v>353.86999999999989</v>
      </c>
      <c r="C291">
        <v>1.3949999999999987</v>
      </c>
      <c r="D291">
        <v>0.37752248909138525</v>
      </c>
      <c r="E291">
        <v>0.82619942559368165</v>
      </c>
      <c r="F291">
        <v>58.461547270721063</v>
      </c>
      <c r="G291">
        <v>41.538452729278937</v>
      </c>
      <c r="H291">
        <v>0.72702516901492686</v>
      </c>
      <c r="I291">
        <v>0.27592364201159397</v>
      </c>
      <c r="J291">
        <v>-2509.8168581686887</v>
      </c>
      <c r="K291">
        <v>1368.7820646510829</v>
      </c>
      <c r="L291">
        <v>5</v>
      </c>
    </row>
    <row r="292" spans="2:12">
      <c r="B292">
        <v>355.63999999999987</v>
      </c>
      <c r="C292">
        <v>1.3949999999999987</v>
      </c>
      <c r="D292">
        <v>0.36362788355259551</v>
      </c>
      <c r="E292">
        <v>0.81674637145865159</v>
      </c>
      <c r="F292">
        <v>54.961955955501061</v>
      </c>
      <c r="G292">
        <v>45.038044044498939</v>
      </c>
      <c r="H292">
        <v>0.69903652115894643</v>
      </c>
      <c r="I292">
        <v>0.294081199725789</v>
      </c>
      <c r="J292">
        <v>-2545.5338422841405</v>
      </c>
      <c r="K292">
        <v>1287.5065007285366</v>
      </c>
      <c r="L292">
        <v>5</v>
      </c>
    </row>
    <row r="293" spans="2:12">
      <c r="B293">
        <v>357.40999999999985</v>
      </c>
      <c r="C293">
        <v>1.3949999999999987</v>
      </c>
      <c r="D293">
        <v>0.34977632900344929</v>
      </c>
      <c r="E293">
        <v>0.80746190701376563</v>
      </c>
      <c r="F293">
        <v>51.570749368101026</v>
      </c>
      <c r="G293">
        <v>48.429250631898974</v>
      </c>
      <c r="H293">
        <v>0.67177538857655539</v>
      </c>
      <c r="I293">
        <v>0.31143234533604097</v>
      </c>
      <c r="J293">
        <v>-2579.6645663551303</v>
      </c>
      <c r="K293">
        <v>1207.6856906051319</v>
      </c>
      <c r="L293">
        <v>5</v>
      </c>
    </row>
    <row r="294" spans="2:12">
      <c r="B294">
        <v>359.17999999999984</v>
      </c>
      <c r="C294">
        <v>1.3949999999999987</v>
      </c>
      <c r="D294">
        <v>0.33573038172112479</v>
      </c>
      <c r="E294">
        <v>0.79817765711006461</v>
      </c>
      <c r="F294">
        <v>48.220026625437633</v>
      </c>
      <c r="G294">
        <v>51.779973374562367</v>
      </c>
      <c r="H294">
        <v>0.64478195240588942</v>
      </c>
      <c r="I294">
        <v>0.32830195131379175</v>
      </c>
      <c r="J294">
        <v>-2612.8480736431293</v>
      </c>
      <c r="K294">
        <v>1128.0366346997471</v>
      </c>
      <c r="L294">
        <v>5</v>
      </c>
    </row>
    <row r="295" spans="2:12">
      <c r="B295">
        <v>360.94999999999982</v>
      </c>
      <c r="C295">
        <v>1.3949999999999987</v>
      </c>
      <c r="D295">
        <v>0.32127896236916059</v>
      </c>
      <c r="E295">
        <v>0.7886900843456468</v>
      </c>
      <c r="F295">
        <v>44.847780631536459</v>
      </c>
      <c r="G295">
        <v>55.152219368463541</v>
      </c>
      <c r="H295">
        <v>0.61763631794831308</v>
      </c>
      <c r="I295">
        <v>0.34511355864242377</v>
      </c>
      <c r="J295">
        <v>-2645.9174941766269</v>
      </c>
      <c r="K295">
        <v>1047.6373032005754</v>
      </c>
      <c r="L295">
        <v>5</v>
      </c>
    </row>
    <row r="296" spans="2:12">
      <c r="B296">
        <v>362.7199999999998</v>
      </c>
      <c r="C296">
        <v>1.3949999999999987</v>
      </c>
      <c r="D296">
        <v>0.30624846483264967</v>
      </c>
      <c r="E296">
        <v>0.77872195021579083</v>
      </c>
      <c r="F296">
        <v>41.392356534864177</v>
      </c>
      <c r="G296">
        <v>58.607643465135823</v>
      </c>
      <c r="H296">
        <v>0.58992082908053112</v>
      </c>
      <c r="I296">
        <v>0.36251356971982307</v>
      </c>
      <c r="J296">
        <v>-2680.1443394959347</v>
      </c>
      <c r="K296">
        <v>966.01340505255462</v>
      </c>
      <c r="L296">
        <v>5</v>
      </c>
    </row>
    <row r="297" spans="2:12">
      <c r="B297">
        <v>364.48999999999978</v>
      </c>
      <c r="C297">
        <v>1.3949999999999987</v>
      </c>
      <c r="D297">
        <v>0.29054413918372446</v>
      </c>
      <c r="E297">
        <v>0.76786506289819156</v>
      </c>
      <c r="F297">
        <v>37.787208981589885</v>
      </c>
      <c r="G297">
        <v>62.212791018410115</v>
      </c>
      <c r="H297">
        <v>0.5611844140702873</v>
      </c>
      <c r="I297">
        <v>0.38157752583827925</v>
      </c>
      <c r="J297">
        <v>-2717.6442625901213</v>
      </c>
      <c r="K297">
        <v>883.39511340392221</v>
      </c>
      <c r="L297">
        <v>5</v>
      </c>
    </row>
    <row r="298" spans="2:12">
      <c r="B298">
        <v>366.25999999999976</v>
      </c>
      <c r="C298">
        <v>1.3949999999999987</v>
      </c>
      <c r="D298">
        <v>0.27423694662306575</v>
      </c>
      <c r="E298">
        <v>0.7555076033388114</v>
      </c>
      <c r="F298">
        <v>33.954950785234679</v>
      </c>
      <c r="G298">
        <v>66.045049214765328</v>
      </c>
      <c r="H298">
        <v>0.53090210211947875</v>
      </c>
      <c r="I298">
        <v>0.40412269883318946</v>
      </c>
      <c r="J298">
        <v>-2761.9919440577564</v>
      </c>
      <c r="K298">
        <v>801.16273091717756</v>
      </c>
      <c r="L298">
        <v>4</v>
      </c>
    </row>
    <row r="299" spans="2:12">
      <c r="B299">
        <v>368.02999999999975</v>
      </c>
      <c r="C299">
        <v>1.3949999999999987</v>
      </c>
      <c r="D299">
        <v>0.25768952572277698</v>
      </c>
      <c r="E299">
        <v>0.74078511018650117</v>
      </c>
      <c r="F299">
        <v>29.79944882120985</v>
      </c>
      <c r="G299">
        <v>70.20055117879015</v>
      </c>
      <c r="H299">
        <v>0.49842126057474206</v>
      </c>
      <c r="I299">
        <v>0.43307141804192745</v>
      </c>
      <c r="J299">
        <v>-2818.9357776071797</v>
      </c>
      <c r="K299">
        <v>722.33664680960169</v>
      </c>
      <c r="L299">
        <v>4</v>
      </c>
    </row>
    <row r="300" spans="2:12">
      <c r="B300">
        <v>369.79999999999973</v>
      </c>
      <c r="C300">
        <v>1.3949999999999987</v>
      </c>
      <c r="D300">
        <v>0.24163786917259333</v>
      </c>
      <c r="E300">
        <v>0.72265490792605791</v>
      </c>
      <c r="F300">
        <v>25.194378710646351</v>
      </c>
      <c r="G300">
        <v>74.805621289353653</v>
      </c>
      <c r="H300">
        <v>0.46288361947231371</v>
      </c>
      <c r="I300">
        <v>0.47263417666679192</v>
      </c>
      <c r="J300">
        <v>-2896.7580510433841</v>
      </c>
      <c r="K300">
        <v>651.61158043765522</v>
      </c>
      <c r="L300">
        <v>4</v>
      </c>
    </row>
    <row r="301" spans="2:12">
      <c r="B301">
        <v>371.56999999999971</v>
      </c>
      <c r="C301">
        <v>1.3949999999999987</v>
      </c>
      <c r="D301">
        <v>0.22706559045882702</v>
      </c>
      <c r="E301">
        <v>0.70016877094179486</v>
      </c>
      <c r="F301">
        <v>19.964431632665146</v>
      </c>
      <c r="G301">
        <v>80.035568367334861</v>
      </c>
      <c r="H301">
        <v>0.42309749585164991</v>
      </c>
      <c r="I301">
        <v>0.52806922329958672</v>
      </c>
      <c r="J301">
        <v>-3005.8020486551873</v>
      </c>
      <c r="K301">
        <v>594.34958131508392</v>
      </c>
      <c r="L301">
        <v>4</v>
      </c>
    </row>
    <row r="302" spans="2:12">
      <c r="B302">
        <v>373.33999999999969</v>
      </c>
      <c r="C302">
        <v>1.3949999999999987</v>
      </c>
      <c r="D302">
        <v>0.21485491212460361</v>
      </c>
      <c r="E302">
        <v>0.67279018546279135</v>
      </c>
      <c r="F302">
        <v>13.853983946461856</v>
      </c>
      <c r="G302">
        <v>86.146016053538148</v>
      </c>
      <c r="H302">
        <v>0.37732447252471168</v>
      </c>
      <c r="I302">
        <v>0.60534715423087238</v>
      </c>
      <c r="J302">
        <v>-3157.812284557669</v>
      </c>
      <c r="K302">
        <v>555.02857971096398</v>
      </c>
      <c r="L302">
        <v>4</v>
      </c>
    </row>
    <row r="303" spans="2:12">
      <c r="B303">
        <v>375.10999999999967</v>
      </c>
      <c r="C303">
        <v>1.3949999999999987</v>
      </c>
      <c r="D303">
        <v>0.20549744115335017</v>
      </c>
      <c r="E303">
        <v>0.64043952117200231</v>
      </c>
      <c r="F303">
        <v>6.4702315254729461</v>
      </c>
      <c r="G303">
        <v>93.52976847452706</v>
      </c>
      <c r="H303">
        <v>0.32289246689117701</v>
      </c>
      <c r="I303">
        <v>0.71172805081247248</v>
      </c>
      <c r="J303">
        <v>-3367.0697658334757</v>
      </c>
      <c r="K303">
        <v>536.76027743859527</v>
      </c>
      <c r="L303">
        <v>4</v>
      </c>
    </row>
    <row r="304" spans="2:12">
      <c r="B304">
        <v>376.87999999999965</v>
      </c>
      <c r="C304">
        <v>1.3949999999999987</v>
      </c>
      <c r="D304">
        <v>0.19909806407735026</v>
      </c>
      <c r="E304">
        <v>0.6032414590083901</v>
      </c>
      <c r="F304">
        <v>-2.8253287036716666</v>
      </c>
      <c r="G304">
        <v>102.82532870367167</v>
      </c>
      <c r="H304">
        <v>0.25545749430349218</v>
      </c>
      <c r="I304">
        <v>0.8580086804357604</v>
      </c>
      <c r="J304">
        <v>-3654.8123690454017</v>
      </c>
      <c r="K304">
        <v>542.6246952339992</v>
      </c>
      <c r="L304">
        <v>4</v>
      </c>
    </row>
    <row r="305" spans="2:12">
      <c r="B305">
        <v>341.48</v>
      </c>
      <c r="C305">
        <v>1.4099999999999986</v>
      </c>
      <c r="D305">
        <v>0.51532385333410313</v>
      </c>
      <c r="E305">
        <v>0.91346538297009583</v>
      </c>
      <c r="F305">
        <v>100</v>
      </c>
      <c r="G305">
        <v>0</v>
      </c>
      <c r="H305">
        <v>1.0384884574792115</v>
      </c>
      <c r="I305">
        <v>9.1762889099528261E-2</v>
      </c>
      <c r="J305">
        <v>-2147.5618242051901</v>
      </c>
      <c r="K305">
        <v>2308.4435764682939</v>
      </c>
      <c r="L305">
        <v>5</v>
      </c>
    </row>
    <row r="306" spans="2:12">
      <c r="B306">
        <v>343.25</v>
      </c>
      <c r="C306">
        <v>1.4099999999999986</v>
      </c>
      <c r="D306">
        <v>0.4845264854264677</v>
      </c>
      <c r="E306">
        <v>0.89664165336477963</v>
      </c>
      <c r="F306">
        <v>89.427243824531431</v>
      </c>
      <c r="G306">
        <v>10.572756175468569</v>
      </c>
      <c r="H306">
        <v>0.96245342133136813</v>
      </c>
      <c r="I306">
        <v>0.12947435762230275</v>
      </c>
      <c r="J306">
        <v>-2221.742501111165</v>
      </c>
      <c r="K306">
        <v>2064.7978022762841</v>
      </c>
      <c r="L306">
        <v>5</v>
      </c>
    </row>
    <row r="307" spans="2:12">
      <c r="B307">
        <v>345.02</v>
      </c>
      <c r="C307">
        <v>1.4099999999999986</v>
      </c>
      <c r="D307">
        <v>0.46034400353681987</v>
      </c>
      <c r="E307">
        <v>0.88172693337066277</v>
      </c>
      <c r="F307">
        <v>81.713971208586088</v>
      </c>
      <c r="G307">
        <v>18.286028791413912</v>
      </c>
      <c r="H307">
        <v>0.90589083312222207</v>
      </c>
      <c r="I307">
        <v>0.16202143417688555</v>
      </c>
      <c r="J307">
        <v>-2285.7645152279442</v>
      </c>
      <c r="K307">
        <v>1892.3881976788325</v>
      </c>
      <c r="L307">
        <v>5</v>
      </c>
    </row>
    <row r="308" spans="2:12">
      <c r="B308">
        <v>346.78999999999996</v>
      </c>
      <c r="C308">
        <v>1.4099999999999986</v>
      </c>
      <c r="D308">
        <v>0.44022106193562177</v>
      </c>
      <c r="E308">
        <v>0.86845144993692036</v>
      </c>
      <c r="F308">
        <v>75.630504965990738</v>
      </c>
      <c r="G308">
        <v>24.369495034009262</v>
      </c>
      <c r="H308">
        <v>0.86040472666270262</v>
      </c>
      <c r="I308">
        <v>0.19043148816153682</v>
      </c>
      <c r="J308">
        <v>-2341.6487625953996</v>
      </c>
      <c r="K308">
        <v>1758.1405200454967</v>
      </c>
      <c r="L308">
        <v>5</v>
      </c>
    </row>
    <row r="309" spans="2:12">
      <c r="B309">
        <v>348.55999999999995</v>
      </c>
      <c r="C309">
        <v>1.4099999999999986</v>
      </c>
      <c r="D309">
        <v>0.42268092087546172</v>
      </c>
      <c r="E309">
        <v>0.85644857944414787</v>
      </c>
      <c r="F309">
        <v>70.553912256238732</v>
      </c>
      <c r="G309">
        <v>29.446087743761268</v>
      </c>
      <c r="H309">
        <v>0.82175001386763147</v>
      </c>
      <c r="I309">
        <v>0.21567172818864844</v>
      </c>
      <c r="J309">
        <v>-2391.2977994487296</v>
      </c>
      <c r="K309">
        <v>1646.2128574154294</v>
      </c>
      <c r="L309">
        <v>5</v>
      </c>
    </row>
    <row r="310" spans="2:12">
      <c r="B310">
        <v>350.32999999999993</v>
      </c>
      <c r="C310">
        <v>1.4099999999999986</v>
      </c>
      <c r="D310">
        <v>0.40681594417978523</v>
      </c>
      <c r="E310">
        <v>0.84540410462034266</v>
      </c>
      <c r="F310">
        <v>66.132873808015972</v>
      </c>
      <c r="G310">
        <v>33.867126191984028</v>
      </c>
      <c r="H310">
        <v>0.78753631715317551</v>
      </c>
      <c r="I310">
        <v>0.23848317126160401</v>
      </c>
      <c r="J310">
        <v>-2436.1692498228258</v>
      </c>
      <c r="K310">
        <v>1548.0710555230996</v>
      </c>
      <c r="L310">
        <v>5</v>
      </c>
    </row>
    <row r="311" spans="2:12">
      <c r="B311">
        <v>352.09999999999991</v>
      </c>
      <c r="C311">
        <v>1.4099999999999986</v>
      </c>
      <c r="D311">
        <v>0.39202603379402245</v>
      </c>
      <c r="E311">
        <v>0.83506764731418903</v>
      </c>
      <c r="F311">
        <v>62.150411207631038</v>
      </c>
      <c r="G311">
        <v>37.849588792368962</v>
      </c>
      <c r="H311">
        <v>0.75628933510765406</v>
      </c>
      <c r="I311">
        <v>0.25941660823375318</v>
      </c>
      <c r="J311">
        <v>-2477.3465517256886</v>
      </c>
      <c r="K311">
        <v>1458.6359724756828</v>
      </c>
      <c r="L311">
        <v>5</v>
      </c>
    </row>
    <row r="312" spans="2:12">
      <c r="B312">
        <v>353.86999999999989</v>
      </c>
      <c r="C312">
        <v>1.4099999999999986</v>
      </c>
      <c r="D312">
        <v>0.3778837331530342</v>
      </c>
      <c r="E312">
        <v>0.82523730932813355</v>
      </c>
      <c r="F312">
        <v>58.461547270721063</v>
      </c>
      <c r="G312">
        <v>41.538452729278937</v>
      </c>
      <c r="H312">
        <v>0.72702516901492686</v>
      </c>
      <c r="I312">
        <v>0.27889056289343905</v>
      </c>
      <c r="J312">
        <v>-2515.6529660680358</v>
      </c>
      <c r="K312">
        <v>1374.6181725504298</v>
      </c>
      <c r="L312">
        <v>5</v>
      </c>
    </row>
    <row r="313" spans="2:12">
      <c r="B313">
        <v>355.63999999999987</v>
      </c>
      <c r="C313">
        <v>1.4099999999999986</v>
      </c>
      <c r="D313">
        <v>0.36406072469228573</v>
      </c>
      <c r="E313">
        <v>0.81574102766853906</v>
      </c>
      <c r="F313">
        <v>54.961955955501061</v>
      </c>
      <c r="G313">
        <v>45.038044044498939</v>
      </c>
      <c r="H313">
        <v>0.69903652115894643</v>
      </c>
      <c r="I313">
        <v>0.2972433631637007</v>
      </c>
      <c r="J313">
        <v>-2551.7540037761269</v>
      </c>
      <c r="K313">
        <v>1293.7266622205229</v>
      </c>
      <c r="L313">
        <v>5</v>
      </c>
    </row>
    <row r="314" spans="2:12">
      <c r="B314">
        <v>357.40999999999985</v>
      </c>
      <c r="C314">
        <v>1.4099999999999986</v>
      </c>
      <c r="D314">
        <v>0.35028624330150443</v>
      </c>
      <c r="E314">
        <v>0.80641826840838748</v>
      </c>
      <c r="F314">
        <v>51.570749368101026</v>
      </c>
      <c r="G314">
        <v>48.429250631898974</v>
      </c>
      <c r="H314">
        <v>0.67177538857655539</v>
      </c>
      <c r="I314">
        <v>0.31478108023212742</v>
      </c>
      <c r="J314">
        <v>-2586.2517248801378</v>
      </c>
      <c r="K314">
        <v>1214.2728491301393</v>
      </c>
      <c r="L314">
        <v>5</v>
      </c>
    </row>
    <row r="315" spans="2:12">
      <c r="B315">
        <v>359.17999999999984</v>
      </c>
      <c r="C315">
        <v>1.4099999999999986</v>
      </c>
      <c r="D315">
        <v>0.33632416067931226</v>
      </c>
      <c r="E315">
        <v>0.79709984600629125</v>
      </c>
      <c r="F315">
        <v>48.220026625437633</v>
      </c>
      <c r="G315">
        <v>51.779973374562367</v>
      </c>
      <c r="H315">
        <v>0.64478195240588942</v>
      </c>
      <c r="I315">
        <v>0.3318320798225422</v>
      </c>
      <c r="J315">
        <v>-2619.7920440744597</v>
      </c>
      <c r="K315">
        <v>1134.9806051310775</v>
      </c>
      <c r="L315">
        <v>5</v>
      </c>
    </row>
    <row r="316" spans="2:12">
      <c r="B316">
        <v>360.94999999999982</v>
      </c>
      <c r="C316">
        <v>1.4099999999999986</v>
      </c>
      <c r="D316">
        <v>0.32196519366172849</v>
      </c>
      <c r="E316">
        <v>0.7875816072891223</v>
      </c>
      <c r="F316">
        <v>44.847780631536459</v>
      </c>
      <c r="G316">
        <v>55.152219368463541</v>
      </c>
      <c r="H316">
        <v>0.61763631794831308</v>
      </c>
      <c r="I316">
        <v>0.3488244571224498</v>
      </c>
      <c r="J316">
        <v>-2653.2170497749839</v>
      </c>
      <c r="K316">
        <v>1054.9368587989325</v>
      </c>
      <c r="L316">
        <v>5</v>
      </c>
    </row>
    <row r="317" spans="2:12">
      <c r="B317">
        <v>362.7199999999998</v>
      </c>
      <c r="C317">
        <v>1.4099999999999986</v>
      </c>
      <c r="D317">
        <v>0.30703819295674062</v>
      </c>
      <c r="E317">
        <v>0.77758588405406071</v>
      </c>
      <c r="F317">
        <v>41.392356534864177</v>
      </c>
      <c r="G317">
        <v>58.607643465135823</v>
      </c>
      <c r="H317">
        <v>0.58992082908053112</v>
      </c>
      <c r="I317">
        <v>0.36641156509315448</v>
      </c>
      <c r="J317">
        <v>-2687.8119256891227</v>
      </c>
      <c r="K317">
        <v>973.68099124574292</v>
      </c>
      <c r="L317">
        <v>5</v>
      </c>
    </row>
    <row r="318" spans="2:12">
      <c r="B318">
        <v>364.48999999999978</v>
      </c>
      <c r="C318">
        <v>1.4099999999999986</v>
      </c>
      <c r="D318">
        <v>0.29145175974814413</v>
      </c>
      <c r="E318">
        <v>0.76670434178669578</v>
      </c>
      <c r="F318">
        <v>37.787208981589885</v>
      </c>
      <c r="G318">
        <v>62.212791018410115</v>
      </c>
      <c r="H318">
        <v>0.5611844140702873</v>
      </c>
      <c r="I318">
        <v>0.38568050998707792</v>
      </c>
      <c r="J318">
        <v>-2725.7150737628172</v>
      </c>
      <c r="K318">
        <v>891.46592457661791</v>
      </c>
      <c r="L318">
        <v>4</v>
      </c>
    </row>
    <row r="319" spans="2:12">
      <c r="B319">
        <v>366.25999999999976</v>
      </c>
      <c r="C319">
        <v>1.4099999999999986</v>
      </c>
      <c r="D319">
        <v>0.27528129737689516</v>
      </c>
      <c r="E319">
        <v>0.75432565813491426</v>
      </c>
      <c r="F319">
        <v>33.954950785234679</v>
      </c>
      <c r="G319">
        <v>66.045049214765328</v>
      </c>
      <c r="H319">
        <v>0.53090210211947875</v>
      </c>
      <c r="I319">
        <v>0.4084681041969872</v>
      </c>
      <c r="J319">
        <v>-2770.5396120204268</v>
      </c>
      <c r="K319">
        <v>809.71039887984784</v>
      </c>
      <c r="L319">
        <v>4</v>
      </c>
    </row>
    <row r="320" spans="2:12">
      <c r="B320">
        <v>368.02999999999975</v>
      </c>
      <c r="C320">
        <v>1.4099999999999986</v>
      </c>
      <c r="D320">
        <v>0.25889484920086325</v>
      </c>
      <c r="E320">
        <v>0.73958737431748001</v>
      </c>
      <c r="F320">
        <v>29.79944882120985</v>
      </c>
      <c r="G320">
        <v>70.20055117879015</v>
      </c>
      <c r="H320">
        <v>0.49842126057474206</v>
      </c>
      <c r="I320">
        <v>0.43772809995635675</v>
      </c>
      <c r="J320">
        <v>-2828.0957448553277</v>
      </c>
      <c r="K320">
        <v>731.49661405774964</v>
      </c>
      <c r="L320">
        <v>4</v>
      </c>
    </row>
    <row r="321" spans="2:12">
      <c r="B321">
        <v>369.79999999999973</v>
      </c>
      <c r="C321">
        <v>1.4099999999999986</v>
      </c>
      <c r="D321">
        <v>0.24303380711242401</v>
      </c>
      <c r="E321">
        <v>0.72145189712695923</v>
      </c>
      <c r="F321">
        <v>25.194378710646351</v>
      </c>
      <c r="G321">
        <v>74.805621289353653</v>
      </c>
      <c r="H321">
        <v>0.46288361947231371</v>
      </c>
      <c r="I321">
        <v>0.4777162645879402</v>
      </c>
      <c r="J321">
        <v>-2906.754816930631</v>
      </c>
      <c r="K321">
        <v>661.60834632490219</v>
      </c>
      <c r="L321">
        <v>4</v>
      </c>
    </row>
    <row r="322" spans="2:12">
      <c r="B322">
        <v>371.56999999999971</v>
      </c>
      <c r="C322">
        <v>1.4099999999999986</v>
      </c>
      <c r="D322">
        <v>0.22868525345977703</v>
      </c>
      <c r="E322">
        <v>0.69898091795988215</v>
      </c>
      <c r="F322">
        <v>19.964431632665146</v>
      </c>
      <c r="G322">
        <v>80.035568367334861</v>
      </c>
      <c r="H322">
        <v>0.42309749585164991</v>
      </c>
      <c r="I322">
        <v>0.53374738699098012</v>
      </c>
      <c r="J322">
        <v>-3016.971330645787</v>
      </c>
      <c r="K322">
        <v>605.51886330568357</v>
      </c>
      <c r="L322">
        <v>4</v>
      </c>
    </row>
    <row r="323" spans="2:12">
      <c r="B323">
        <v>373.33999999999969</v>
      </c>
      <c r="C323">
        <v>1.4099999999999986</v>
      </c>
      <c r="D323">
        <v>0.21673125326549869</v>
      </c>
      <c r="E323">
        <v>0.67165317364841148</v>
      </c>
      <c r="F323">
        <v>13.853983946461856</v>
      </c>
      <c r="G323">
        <v>86.146016053538148</v>
      </c>
      <c r="H323">
        <v>0.37732447252471168</v>
      </c>
      <c r="I323">
        <v>0.61185626341615051</v>
      </c>
      <c r="J323">
        <v>-3170.6160852138869</v>
      </c>
      <c r="K323">
        <v>567.83238036718171</v>
      </c>
      <c r="L323">
        <v>4</v>
      </c>
    </row>
    <row r="324" spans="2:12">
      <c r="B324">
        <v>375.10999999999967</v>
      </c>
      <c r="C324">
        <v>1.4099999999999986</v>
      </c>
      <c r="D324">
        <v>0.20765985347684729</v>
      </c>
      <c r="E324">
        <v>0.639408330976312</v>
      </c>
      <c r="F324">
        <v>6.4702315254729461</v>
      </c>
      <c r="G324">
        <v>93.52976847452706</v>
      </c>
      <c r="H324">
        <v>0.32289246689117701</v>
      </c>
      <c r="I324">
        <v>0.71938104060615493</v>
      </c>
      <c r="J324">
        <v>-3382.123646933519</v>
      </c>
      <c r="K324">
        <v>551.81415853863905</v>
      </c>
      <c r="L324">
        <v>4</v>
      </c>
    </row>
    <row r="325" spans="2:12">
      <c r="B325">
        <v>376.87999999999965</v>
      </c>
      <c r="C325">
        <v>1.4099999999999986</v>
      </c>
      <c r="D325">
        <v>0.20157077335383966</v>
      </c>
      <c r="E325">
        <v>0.60239305598092019</v>
      </c>
      <c r="F325">
        <v>-2.8253287036716666</v>
      </c>
      <c r="G325">
        <v>102.82532870367167</v>
      </c>
      <c r="H325">
        <v>0.25545749430349218</v>
      </c>
      <c r="I325">
        <v>0.86723458022539224</v>
      </c>
      <c r="J325">
        <v>-3672.9602566315953</v>
      </c>
      <c r="K325">
        <v>560.7725828201925</v>
      </c>
      <c r="L325">
        <v>4</v>
      </c>
    </row>
    <row r="326" spans="2:12">
      <c r="B326">
        <v>341.48</v>
      </c>
      <c r="C326">
        <v>1.4249999999999985</v>
      </c>
      <c r="D326">
        <v>0.51531062950466011</v>
      </c>
      <c r="E326">
        <v>0.91310858004424045</v>
      </c>
      <c r="F326">
        <v>100</v>
      </c>
      <c r="G326">
        <v>0</v>
      </c>
      <c r="H326">
        <v>1.0384884574792115</v>
      </c>
      <c r="I326">
        <v>9.2739090047395584E-2</v>
      </c>
      <c r="J326">
        <v>-2149.48206889323</v>
      </c>
      <c r="K326">
        <v>2310.3638211563339</v>
      </c>
      <c r="L326">
        <v>5</v>
      </c>
    </row>
    <row r="327" spans="2:12">
      <c r="B327">
        <v>343.25</v>
      </c>
      <c r="C327">
        <v>1.4249999999999985</v>
      </c>
      <c r="D327">
        <v>0.48454597953948519</v>
      </c>
      <c r="E327">
        <v>0.89614194935885427</v>
      </c>
      <c r="F327">
        <v>89.427243824531431</v>
      </c>
      <c r="G327">
        <v>10.572756175468569</v>
      </c>
      <c r="H327">
        <v>0.96245342133136813</v>
      </c>
      <c r="I327">
        <v>0.13085174440551872</v>
      </c>
      <c r="J327">
        <v>-2224.451901936503</v>
      </c>
      <c r="K327">
        <v>2067.5072031016216</v>
      </c>
      <c r="L327">
        <v>5</v>
      </c>
    </row>
    <row r="328" spans="2:12">
      <c r="B328">
        <v>345.02</v>
      </c>
      <c r="C328">
        <v>1.4249999999999985</v>
      </c>
      <c r="D328">
        <v>0.46040790598770631</v>
      </c>
      <c r="E328">
        <v>0.88111181109944714</v>
      </c>
      <c r="F328">
        <v>81.713971208586088</v>
      </c>
      <c r="G328">
        <v>18.286028791413912</v>
      </c>
      <c r="H328">
        <v>0.90589083312222207</v>
      </c>
      <c r="I328">
        <v>0.16374506645536305</v>
      </c>
      <c r="J328">
        <v>-2289.1550013098436</v>
      </c>
      <c r="K328">
        <v>1895.7786837607321</v>
      </c>
      <c r="L328">
        <v>5</v>
      </c>
    </row>
    <row r="329" spans="2:12">
      <c r="B329">
        <v>346.78999999999996</v>
      </c>
      <c r="C329">
        <v>1.4249999999999985</v>
      </c>
      <c r="D329">
        <v>0.44033608571106747</v>
      </c>
      <c r="E329">
        <v>0.86774249326735686</v>
      </c>
      <c r="F329">
        <v>75.630504965990738</v>
      </c>
      <c r="G329">
        <v>24.369495034009262</v>
      </c>
      <c r="H329">
        <v>0.86040472666270262</v>
      </c>
      <c r="I329">
        <v>0.19245735505687231</v>
      </c>
      <c r="J329">
        <v>-2345.6337619471656</v>
      </c>
      <c r="K329">
        <v>1762.1255193972625</v>
      </c>
      <c r="L329">
        <v>5</v>
      </c>
    </row>
    <row r="330" spans="2:12">
      <c r="B330">
        <v>348.55999999999995</v>
      </c>
      <c r="C330">
        <v>1.4249999999999985</v>
      </c>
      <c r="D330">
        <v>0.42285154375195572</v>
      </c>
      <c r="E330">
        <v>0.85566199115784669</v>
      </c>
      <c r="F330">
        <v>70.553912256238732</v>
      </c>
      <c r="G330">
        <v>29.446087743761268</v>
      </c>
      <c r="H330">
        <v>0.82175001386763147</v>
      </c>
      <c r="I330">
        <v>0.21796610827576171</v>
      </c>
      <c r="J330">
        <v>-2395.8109800436159</v>
      </c>
      <c r="K330">
        <v>1650.7260380103157</v>
      </c>
      <c r="L330">
        <v>5</v>
      </c>
    </row>
    <row r="331" spans="2:12">
      <c r="B331">
        <v>350.32999999999993</v>
      </c>
      <c r="C331">
        <v>1.4249999999999985</v>
      </c>
      <c r="D331">
        <v>0.40704579355218984</v>
      </c>
      <c r="E331">
        <v>0.8445521249981407</v>
      </c>
      <c r="F331">
        <v>66.132873808015972</v>
      </c>
      <c r="G331">
        <v>33.867126191984028</v>
      </c>
      <c r="H331">
        <v>0.78753631715317551</v>
      </c>
      <c r="I331">
        <v>0.24102022627502531</v>
      </c>
      <c r="J331">
        <v>-2441.1597862727558</v>
      </c>
      <c r="K331">
        <v>1553.0615919730296</v>
      </c>
      <c r="L331">
        <v>5</v>
      </c>
    </row>
    <row r="332" spans="2:12">
      <c r="B332">
        <v>352.09999999999991</v>
      </c>
      <c r="C332">
        <v>1.4249999999999985</v>
      </c>
      <c r="D332">
        <v>0.39231861240434962</v>
      </c>
      <c r="E332">
        <v>0.83415970968754138</v>
      </c>
      <c r="F332">
        <v>62.150411207631038</v>
      </c>
      <c r="G332">
        <v>37.849588792368962</v>
      </c>
      <c r="H332">
        <v>0.75628933510765406</v>
      </c>
      <c r="I332">
        <v>0.26217635938517603</v>
      </c>
      <c r="J332">
        <v>-2482.7751445788404</v>
      </c>
      <c r="K332">
        <v>1464.0645653288345</v>
      </c>
      <c r="L332">
        <v>5</v>
      </c>
    </row>
    <row r="333" spans="2:12">
      <c r="B333">
        <v>353.86999999999989</v>
      </c>
      <c r="C333">
        <v>1.4249999999999985</v>
      </c>
      <c r="D333">
        <v>0.37824285252248635</v>
      </c>
      <c r="E333">
        <v>0.82428085184327937</v>
      </c>
      <c r="F333">
        <v>58.461547270721063</v>
      </c>
      <c r="G333">
        <v>41.538452729278937</v>
      </c>
      <c r="H333">
        <v>0.72702516901492686</v>
      </c>
      <c r="I333">
        <v>0.28185748377528413</v>
      </c>
      <c r="J333">
        <v>-2521.4890739673824</v>
      </c>
      <c r="K333">
        <v>1380.4542804497771</v>
      </c>
      <c r="L333">
        <v>5</v>
      </c>
    </row>
    <row r="334" spans="2:12">
      <c r="B334">
        <v>355.63999999999987</v>
      </c>
      <c r="C334">
        <v>1.4249999999999985</v>
      </c>
      <c r="D334">
        <v>0.36449082687491596</v>
      </c>
      <c r="E334">
        <v>0.81474204555068719</v>
      </c>
      <c r="F334">
        <v>54.961955955501061</v>
      </c>
      <c r="G334">
        <v>45.038044044498939</v>
      </c>
      <c r="H334">
        <v>0.69903652115894643</v>
      </c>
      <c r="I334">
        <v>0.30040552660161235</v>
      </c>
      <c r="J334">
        <v>-2557.9741652681128</v>
      </c>
      <c r="K334">
        <v>1299.9468237125091</v>
      </c>
      <c r="L334">
        <v>5</v>
      </c>
    </row>
    <row r="335" spans="2:12">
      <c r="B335">
        <v>357.40999999999985</v>
      </c>
      <c r="C335">
        <v>1.4249999999999985</v>
      </c>
      <c r="D335">
        <v>0.35079270763728543</v>
      </c>
      <c r="E335">
        <v>0.80538169082057676</v>
      </c>
      <c r="F335">
        <v>51.570749368101026</v>
      </c>
      <c r="G335">
        <v>48.429250631898974</v>
      </c>
      <c r="H335">
        <v>0.67177538857655539</v>
      </c>
      <c r="I335">
        <v>0.31812981512821387</v>
      </c>
      <c r="J335">
        <v>-2592.8388834051457</v>
      </c>
      <c r="K335">
        <v>1220.860007655147</v>
      </c>
      <c r="L335">
        <v>5</v>
      </c>
    </row>
    <row r="336" spans="2:12">
      <c r="B336">
        <v>359.17999999999984</v>
      </c>
      <c r="C336">
        <v>1.4249999999999985</v>
      </c>
      <c r="D336">
        <v>0.336913662478869</v>
      </c>
      <c r="E336">
        <v>0.79602979868229018</v>
      </c>
      <c r="F336">
        <v>48.220026625437633</v>
      </c>
      <c r="G336">
        <v>51.779973374562367</v>
      </c>
      <c r="H336">
        <v>0.64478195240588942</v>
      </c>
      <c r="I336">
        <v>0.3353622083312926</v>
      </c>
      <c r="J336">
        <v>-2626.7360145057901</v>
      </c>
      <c r="K336">
        <v>1141.9245755624077</v>
      </c>
      <c r="L336">
        <v>5</v>
      </c>
    </row>
    <row r="337" spans="2:12">
      <c r="B337">
        <v>360.94999999999982</v>
      </c>
      <c r="C337">
        <v>1.4249999999999985</v>
      </c>
      <c r="D337">
        <v>0.32264617529646777</v>
      </c>
      <c r="E337">
        <v>0.78648161006340778</v>
      </c>
      <c r="F337">
        <v>44.847780631536459</v>
      </c>
      <c r="G337">
        <v>55.152219368463541</v>
      </c>
      <c r="H337">
        <v>0.61763631794831308</v>
      </c>
      <c r="I337">
        <v>0.35253535560247584</v>
      </c>
      <c r="J337">
        <v>-2660.516605373341</v>
      </c>
      <c r="K337">
        <v>1062.2364143972898</v>
      </c>
      <c r="L337">
        <v>5</v>
      </c>
    </row>
    <row r="338" spans="2:12">
      <c r="B338">
        <v>362.7199999999998</v>
      </c>
      <c r="C338">
        <v>1.4249999999999985</v>
      </c>
      <c r="D338">
        <v>0.30782150937670849</v>
      </c>
      <c r="E338">
        <v>0.77645904147177658</v>
      </c>
      <c r="F338">
        <v>41.392356534864177</v>
      </c>
      <c r="G338">
        <v>58.607643465135823</v>
      </c>
      <c r="H338">
        <v>0.58992082908053112</v>
      </c>
      <c r="I338">
        <v>0.37030956046648589</v>
      </c>
      <c r="J338">
        <v>-2695.4795118823113</v>
      </c>
      <c r="K338">
        <v>981.34857743893133</v>
      </c>
      <c r="L338">
        <v>4</v>
      </c>
    </row>
    <row r="339" spans="2:12">
      <c r="B339">
        <v>364.48999999999978</v>
      </c>
      <c r="C339">
        <v>1.4249999999999985</v>
      </c>
      <c r="D339">
        <v>0.29235154839151412</v>
      </c>
      <c r="E339">
        <v>0.76555363661849429</v>
      </c>
      <c r="F339">
        <v>37.787208981589885</v>
      </c>
      <c r="G339">
        <v>62.212791018410115</v>
      </c>
      <c r="H339">
        <v>0.5611844140702873</v>
      </c>
      <c r="I339">
        <v>0.3897834941358766</v>
      </c>
      <c r="J339">
        <v>-2733.785884935513</v>
      </c>
      <c r="K339">
        <v>899.53673574931361</v>
      </c>
      <c r="L339">
        <v>4</v>
      </c>
    </row>
    <row r="340" spans="2:12">
      <c r="B340">
        <v>366.25999999999976</v>
      </c>
      <c r="C340">
        <v>1.4249999999999985</v>
      </c>
      <c r="D340">
        <v>0.27631603055671983</v>
      </c>
      <c r="E340">
        <v>0.75315459763180026</v>
      </c>
      <c r="F340">
        <v>33.954950785234679</v>
      </c>
      <c r="G340">
        <v>66.045049214765328</v>
      </c>
      <c r="H340">
        <v>0.53090210211947875</v>
      </c>
      <c r="I340">
        <v>0.41281350956078489</v>
      </c>
      <c r="J340">
        <v>-2779.0872799830972</v>
      </c>
      <c r="K340">
        <v>818.25806684251813</v>
      </c>
      <c r="L340">
        <v>4</v>
      </c>
    </row>
    <row r="341" spans="2:12">
      <c r="B341">
        <v>368.02999999999975</v>
      </c>
      <c r="C341">
        <v>1.4249999999999985</v>
      </c>
      <c r="D341">
        <v>0.26008824076570014</v>
      </c>
      <c r="E341">
        <v>0.7384014952493464</v>
      </c>
      <c r="F341">
        <v>29.79944882120985</v>
      </c>
      <c r="G341">
        <v>70.20055117879015</v>
      </c>
      <c r="H341">
        <v>0.49842126057474206</v>
      </c>
      <c r="I341">
        <v>0.44238478187078606</v>
      </c>
      <c r="J341">
        <v>-2837.2557121034756</v>
      </c>
      <c r="K341">
        <v>740.6565813058977</v>
      </c>
      <c r="L341">
        <v>4</v>
      </c>
    </row>
    <row r="342" spans="2:12">
      <c r="B342">
        <v>369.79999999999973</v>
      </c>
      <c r="C342">
        <v>1.4249999999999985</v>
      </c>
      <c r="D342">
        <v>0.24441474153193216</v>
      </c>
      <c r="E342">
        <v>0.72026181627012931</v>
      </c>
      <c r="F342">
        <v>25.194378710646351</v>
      </c>
      <c r="G342">
        <v>74.805621289353653</v>
      </c>
      <c r="H342">
        <v>0.46288361947231371</v>
      </c>
      <c r="I342">
        <v>0.48279835250908848</v>
      </c>
      <c r="J342">
        <v>-2916.751582817878</v>
      </c>
      <c r="K342">
        <v>671.60511221214915</v>
      </c>
      <c r="L342">
        <v>4</v>
      </c>
    </row>
    <row r="343" spans="2:12">
      <c r="B343">
        <v>371.56999999999971</v>
      </c>
      <c r="C343">
        <v>1.4249999999999985</v>
      </c>
      <c r="D343">
        <v>0.23028580686812578</v>
      </c>
      <c r="E343">
        <v>0.69780707986041179</v>
      </c>
      <c r="F343">
        <v>19.964431632665146</v>
      </c>
      <c r="G343">
        <v>80.035568367334861</v>
      </c>
      <c r="H343">
        <v>0.42309749585164991</v>
      </c>
      <c r="I343">
        <v>0.53942555068237341</v>
      </c>
      <c r="J343">
        <v>-3028.1406126363863</v>
      </c>
      <c r="K343">
        <v>616.68814529628321</v>
      </c>
      <c r="L343">
        <v>4</v>
      </c>
    </row>
    <row r="344" spans="2:12">
      <c r="B344">
        <v>373.33999999999969</v>
      </c>
      <c r="C344">
        <v>1.4249999999999985</v>
      </c>
      <c r="D344">
        <v>0.21858306204942596</v>
      </c>
      <c r="E344">
        <v>0.67053102777663598</v>
      </c>
      <c r="F344">
        <v>13.853983946461856</v>
      </c>
      <c r="G344">
        <v>86.146016053538148</v>
      </c>
      <c r="H344">
        <v>0.37732447252471168</v>
      </c>
      <c r="I344">
        <v>0.61836537260142865</v>
      </c>
      <c r="J344">
        <v>-3183.4198858701047</v>
      </c>
      <c r="K344">
        <v>580.63618102339944</v>
      </c>
      <c r="L344">
        <v>4</v>
      </c>
    </row>
    <row r="345" spans="2:12">
      <c r="B345">
        <v>375.10999999999967</v>
      </c>
      <c r="C345">
        <v>1.4249999999999985</v>
      </c>
      <c r="D345">
        <v>0.20979074184226887</v>
      </c>
      <c r="E345">
        <v>0.63839217361970768</v>
      </c>
      <c r="F345">
        <v>6.4702315254729461</v>
      </c>
      <c r="G345">
        <v>93.52976847452706</v>
      </c>
      <c r="H345">
        <v>0.32289246689117701</v>
      </c>
      <c r="I345">
        <v>0.72703403039983738</v>
      </c>
      <c r="J345">
        <v>-3397.1775280335628</v>
      </c>
      <c r="K345">
        <v>566.8680396386826</v>
      </c>
      <c r="L345">
        <v>4</v>
      </c>
    </row>
    <row r="346" spans="2:12">
      <c r="B346">
        <v>376.87999999999965</v>
      </c>
      <c r="C346">
        <v>1.4249999999999985</v>
      </c>
      <c r="D346">
        <v>0.20400317411237728</v>
      </c>
      <c r="E346">
        <v>0.60155848307451953</v>
      </c>
      <c r="F346">
        <v>-2.8253287036716666</v>
      </c>
      <c r="G346">
        <v>102.82532870367167</v>
      </c>
      <c r="H346">
        <v>0.25545749430349218</v>
      </c>
      <c r="I346">
        <v>0.87646048001502397</v>
      </c>
      <c r="J346">
        <v>-3691.1081442177888</v>
      </c>
      <c r="K346">
        <v>578.9204704063859</v>
      </c>
      <c r="L346">
        <v>4</v>
      </c>
    </row>
    <row r="347" spans="2:12">
      <c r="B347">
        <v>341.48</v>
      </c>
      <c r="C347">
        <v>1.4399999999999984</v>
      </c>
      <c r="D347">
        <v>0.51529742847873605</v>
      </c>
      <c r="E347">
        <v>0.9127523923987263</v>
      </c>
      <c r="F347">
        <v>100</v>
      </c>
      <c r="G347">
        <v>0</v>
      </c>
      <c r="H347">
        <v>1.0384884574792115</v>
      </c>
      <c r="I347">
        <v>9.3715290995262893E-2</v>
      </c>
      <c r="J347">
        <v>-2151.4023135812704</v>
      </c>
      <c r="K347">
        <v>2312.2840658443743</v>
      </c>
      <c r="L347">
        <v>5</v>
      </c>
    </row>
    <row r="348" spans="2:12">
      <c r="B348">
        <v>343.25</v>
      </c>
      <c r="C348">
        <v>1.4399999999999984</v>
      </c>
      <c r="D348">
        <v>0.48456542459547963</v>
      </c>
      <c r="E348">
        <v>0.89564350286030714</v>
      </c>
      <c r="F348">
        <v>89.427243824531431</v>
      </c>
      <c r="G348">
        <v>10.572756175468569</v>
      </c>
      <c r="H348">
        <v>0.96245342133136813</v>
      </c>
      <c r="I348">
        <v>0.13222913118873469</v>
      </c>
      <c r="J348">
        <v>-2227.1613027618405</v>
      </c>
      <c r="K348">
        <v>2070.2166039269596</v>
      </c>
      <c r="L348">
        <v>5</v>
      </c>
    </row>
    <row r="349" spans="2:12">
      <c r="B349">
        <v>345.02</v>
      </c>
      <c r="C349">
        <v>1.4399999999999984</v>
      </c>
      <c r="D349">
        <v>0.4604716028225998</v>
      </c>
      <c r="E349">
        <v>0.88049866807902533</v>
      </c>
      <c r="F349">
        <v>81.713971208586088</v>
      </c>
      <c r="G349">
        <v>18.286028791413912</v>
      </c>
      <c r="H349">
        <v>0.90589083312222207</v>
      </c>
      <c r="I349">
        <v>0.16546869873384054</v>
      </c>
      <c r="J349">
        <v>-2292.5454873917429</v>
      </c>
      <c r="K349">
        <v>1899.1691698426312</v>
      </c>
      <c r="L349">
        <v>5</v>
      </c>
    </row>
    <row r="350" spans="2:12">
      <c r="B350">
        <v>346.78999999999996</v>
      </c>
      <c r="C350">
        <v>1.4399999999999984</v>
      </c>
      <c r="D350">
        <v>0.4404506676900945</v>
      </c>
      <c r="E350">
        <v>0.86703625963932396</v>
      </c>
      <c r="F350">
        <v>75.630504965990738</v>
      </c>
      <c r="G350">
        <v>24.369495034009262</v>
      </c>
      <c r="H350">
        <v>0.86040472666270262</v>
      </c>
      <c r="I350">
        <v>0.1944832219522078</v>
      </c>
      <c r="J350">
        <v>-2349.6187612989311</v>
      </c>
      <c r="K350">
        <v>1766.1105187490282</v>
      </c>
      <c r="L350">
        <v>5</v>
      </c>
    </row>
    <row r="351" spans="2:12">
      <c r="B351">
        <v>348.55999999999995</v>
      </c>
      <c r="C351">
        <v>1.4399999999999984</v>
      </c>
      <c r="D351">
        <v>0.42302141524690529</v>
      </c>
      <c r="E351">
        <v>0.85487886681456138</v>
      </c>
      <c r="F351">
        <v>70.553912256238732</v>
      </c>
      <c r="G351">
        <v>29.446087743761268</v>
      </c>
      <c r="H351">
        <v>0.82175001386763147</v>
      </c>
      <c r="I351">
        <v>0.22026048836287498</v>
      </c>
      <c r="J351">
        <v>-2400.3241606385027</v>
      </c>
      <c r="K351">
        <v>1655.2392186052018</v>
      </c>
      <c r="L351">
        <v>5</v>
      </c>
    </row>
    <row r="352" spans="2:12">
      <c r="B352">
        <v>350.32999999999993</v>
      </c>
      <c r="C352">
        <v>1.4399999999999984</v>
      </c>
      <c r="D352">
        <v>0.40727451181389124</v>
      </c>
      <c r="E352">
        <v>0.84370433804899014</v>
      </c>
      <c r="F352">
        <v>66.132873808015972</v>
      </c>
      <c r="G352">
        <v>33.867126191984028</v>
      </c>
      <c r="H352">
        <v>0.78753631715317551</v>
      </c>
      <c r="I352">
        <v>0.24355728128844661</v>
      </c>
      <c r="J352">
        <v>-2446.1503227226858</v>
      </c>
      <c r="K352">
        <v>1558.0521284229594</v>
      </c>
      <c r="L352">
        <v>5</v>
      </c>
    </row>
    <row r="353" spans="2:12">
      <c r="B353">
        <v>352.09999999999991</v>
      </c>
      <c r="C353">
        <v>1.4399999999999984</v>
      </c>
      <c r="D353">
        <v>0.3926096096906701</v>
      </c>
      <c r="E353">
        <v>0.83325667926707669</v>
      </c>
      <c r="F353">
        <v>62.150411207631038</v>
      </c>
      <c r="G353">
        <v>37.849588792368962</v>
      </c>
      <c r="H353">
        <v>0.75628933510765406</v>
      </c>
      <c r="I353">
        <v>0.26493611053659893</v>
      </c>
      <c r="J353">
        <v>-2488.2037374319925</v>
      </c>
      <c r="K353">
        <v>1469.4931581819862</v>
      </c>
      <c r="L353">
        <v>5</v>
      </c>
    </row>
    <row r="354" spans="2:12">
      <c r="B354">
        <v>353.86999999999989</v>
      </c>
      <c r="C354">
        <v>1.4399999999999984</v>
      </c>
      <c r="D354">
        <v>0.37859986588965516</v>
      </c>
      <c r="E354">
        <v>0.82333000336149886</v>
      </c>
      <c r="F354">
        <v>58.461547270721063</v>
      </c>
      <c r="G354">
        <v>41.538452729278937</v>
      </c>
      <c r="H354">
        <v>0.72702516901492686</v>
      </c>
      <c r="I354">
        <v>0.28482440465712922</v>
      </c>
      <c r="J354">
        <v>-2527.3251818667295</v>
      </c>
      <c r="K354">
        <v>1386.290388349124</v>
      </c>
      <c r="L354">
        <v>5</v>
      </c>
    </row>
    <row r="355" spans="2:12">
      <c r="B355">
        <v>355.63999999999987</v>
      </c>
      <c r="C355">
        <v>1.4399999999999984</v>
      </c>
      <c r="D355">
        <v>0.36491821601608621</v>
      </c>
      <c r="E355">
        <v>0.8137493649119093</v>
      </c>
      <c r="F355">
        <v>54.961955955501061</v>
      </c>
      <c r="G355">
        <v>45.038044044498939</v>
      </c>
      <c r="H355">
        <v>0.69903652115894643</v>
      </c>
      <c r="I355">
        <v>0.30356769003952405</v>
      </c>
      <c r="J355">
        <v>-2564.1943267600991</v>
      </c>
      <c r="K355">
        <v>1306.1669852044954</v>
      </c>
      <c r="L355">
        <v>5</v>
      </c>
    </row>
    <row r="356" spans="2:12">
      <c r="B356">
        <v>357.40999999999985</v>
      </c>
      <c r="C356">
        <v>1.4399999999999984</v>
      </c>
      <c r="D356">
        <v>0.3512957569052193</v>
      </c>
      <c r="E356">
        <v>0.804352102832114</v>
      </c>
      <c r="F356">
        <v>51.570749368101026</v>
      </c>
      <c r="G356">
        <v>48.429250631898974</v>
      </c>
      <c r="H356">
        <v>0.67177538857655539</v>
      </c>
      <c r="I356">
        <v>0.32147855002430031</v>
      </c>
      <c r="J356">
        <v>-2599.4260419301531</v>
      </c>
      <c r="K356">
        <v>1227.4471661801549</v>
      </c>
      <c r="L356">
        <v>5</v>
      </c>
    </row>
    <row r="357" spans="2:12">
      <c r="B357">
        <v>359.17999999999984</v>
      </c>
      <c r="C357">
        <v>1.4399999999999984</v>
      </c>
      <c r="D357">
        <v>0.33749893316832902</v>
      </c>
      <c r="E357">
        <v>0.79496743155203897</v>
      </c>
      <c r="F357">
        <v>48.220026625437633</v>
      </c>
      <c r="G357">
        <v>51.779973374562367</v>
      </c>
      <c r="H357">
        <v>0.64478195240588942</v>
      </c>
      <c r="I357">
        <v>0.33889233684004305</v>
      </c>
      <c r="J357">
        <v>-2633.67998493712</v>
      </c>
      <c r="K357">
        <v>1148.8685459937378</v>
      </c>
      <c r="L357">
        <v>5</v>
      </c>
    </row>
    <row r="358" spans="2:12">
      <c r="B358">
        <v>360.94999999999982</v>
      </c>
      <c r="C358">
        <v>1.4399999999999984</v>
      </c>
      <c r="D358">
        <v>0.32332196728353124</v>
      </c>
      <c r="E358">
        <v>0.78538999573343482</v>
      </c>
      <c r="F358">
        <v>44.847780631536459</v>
      </c>
      <c r="G358">
        <v>55.152219368463541</v>
      </c>
      <c r="H358">
        <v>0.61763631794831308</v>
      </c>
      <c r="I358">
        <v>0.35624625408250193</v>
      </c>
      <c r="J358">
        <v>-2667.8161609716981</v>
      </c>
      <c r="K358">
        <v>1069.5359699956468</v>
      </c>
      <c r="L358">
        <v>4</v>
      </c>
    </row>
    <row r="359" spans="2:12">
      <c r="B359">
        <v>362.7199999999998</v>
      </c>
      <c r="C359">
        <v>1.4399999999999984</v>
      </c>
      <c r="D359">
        <v>0.30859849186059757</v>
      </c>
      <c r="E359">
        <v>0.77534131059544564</v>
      </c>
      <c r="F359">
        <v>41.392356534864177</v>
      </c>
      <c r="G359">
        <v>58.607643465135823</v>
      </c>
      <c r="H359">
        <v>0.58992082908053112</v>
      </c>
      <c r="I359">
        <v>0.3742075558398173</v>
      </c>
      <c r="J359">
        <v>-2703.1470980754998</v>
      </c>
      <c r="K359">
        <v>989.01616363211963</v>
      </c>
      <c r="L359">
        <v>4</v>
      </c>
    </row>
    <row r="360" spans="2:12">
      <c r="B360">
        <v>364.48999999999978</v>
      </c>
      <c r="C360">
        <v>1.4399999999999984</v>
      </c>
      <c r="D360">
        <v>0.29324360605162292</v>
      </c>
      <c r="E360">
        <v>0.76441281830812258</v>
      </c>
      <c r="F360">
        <v>37.787208981589885</v>
      </c>
      <c r="G360">
        <v>62.212791018410115</v>
      </c>
      <c r="H360">
        <v>0.5611844140702873</v>
      </c>
      <c r="I360">
        <v>0.39388647828467527</v>
      </c>
      <c r="J360">
        <v>-2741.8566961082083</v>
      </c>
      <c r="K360">
        <v>907.60754692200942</v>
      </c>
      <c r="L360">
        <v>4</v>
      </c>
    </row>
    <row r="361" spans="2:12">
      <c r="B361">
        <v>366.25999999999976</v>
      </c>
      <c r="C361">
        <v>1.4399999999999984</v>
      </c>
      <c r="D361">
        <v>0.27734127840800793</v>
      </c>
      <c r="E361">
        <v>0.75199427216050396</v>
      </c>
      <c r="F361">
        <v>33.954950785234679</v>
      </c>
      <c r="G361">
        <v>66.045049214765328</v>
      </c>
      <c r="H361">
        <v>0.53090210211947875</v>
      </c>
      <c r="I361">
        <v>0.41715891492458262</v>
      </c>
      <c r="J361">
        <v>-2787.6349479457676</v>
      </c>
      <c r="K361">
        <v>826.80573480518854</v>
      </c>
      <c r="L361">
        <v>4</v>
      </c>
    </row>
    <row r="362" spans="2:12">
      <c r="B362">
        <v>368.02999999999975</v>
      </c>
      <c r="C362">
        <v>1.4399999999999984</v>
      </c>
      <c r="D362">
        <v>0.26126987672183111</v>
      </c>
      <c r="E362">
        <v>0.73722729778740825</v>
      </c>
      <c r="F362">
        <v>29.79944882120985</v>
      </c>
      <c r="G362">
        <v>70.20055117879015</v>
      </c>
      <c r="H362">
        <v>0.49842126057474206</v>
      </c>
      <c r="I362">
        <v>0.44704146378521536</v>
      </c>
      <c r="J362">
        <v>-2846.415679351624</v>
      </c>
      <c r="K362">
        <v>749.81654855404577</v>
      </c>
      <c r="L362">
        <v>4</v>
      </c>
    </row>
    <row r="363" spans="2:12">
      <c r="B363">
        <v>369.79999999999973</v>
      </c>
      <c r="C363">
        <v>1.4399999999999984</v>
      </c>
      <c r="D363">
        <v>0.24578091302459171</v>
      </c>
      <c r="E363">
        <v>0.71908445801358001</v>
      </c>
      <c r="F363">
        <v>25.194378710646351</v>
      </c>
      <c r="G363">
        <v>74.805621289353653</v>
      </c>
      <c r="H363">
        <v>0.46288361947231371</v>
      </c>
      <c r="I363">
        <v>0.48788044043023676</v>
      </c>
      <c r="J363">
        <v>-2926.748348705125</v>
      </c>
      <c r="K363">
        <v>681.60187809939612</v>
      </c>
      <c r="L363">
        <v>4</v>
      </c>
    </row>
    <row r="364" spans="2:12">
      <c r="B364">
        <v>371.56999999999971</v>
      </c>
      <c r="C364">
        <v>1.4399999999999984</v>
      </c>
      <c r="D364">
        <v>0.23186758689723597</v>
      </c>
      <c r="E364">
        <v>0.69664701006613583</v>
      </c>
      <c r="F364">
        <v>19.964431632665146</v>
      </c>
      <c r="G364">
        <v>80.035568367334861</v>
      </c>
      <c r="H364">
        <v>0.42309749585164991</v>
      </c>
      <c r="I364">
        <v>0.54510371437376681</v>
      </c>
      <c r="J364">
        <v>-3039.3098946269861</v>
      </c>
      <c r="K364">
        <v>627.85742728688285</v>
      </c>
      <c r="L364">
        <v>4</v>
      </c>
    </row>
    <row r="365" spans="2:12">
      <c r="B365">
        <v>373.33999999999969</v>
      </c>
      <c r="C365">
        <v>1.4399999999999984</v>
      </c>
      <c r="D365">
        <v>0.22041081647665495</v>
      </c>
      <c r="E365">
        <v>0.66942345819227289</v>
      </c>
      <c r="F365">
        <v>13.853983946461856</v>
      </c>
      <c r="G365">
        <v>86.146016053538148</v>
      </c>
      <c r="H365">
        <v>0.37732447252471168</v>
      </c>
      <c r="I365">
        <v>0.6248744817867069</v>
      </c>
      <c r="J365">
        <v>-3196.2236865263226</v>
      </c>
      <c r="K365">
        <v>593.43998167961729</v>
      </c>
      <c r="L365">
        <v>4</v>
      </c>
    </row>
    <row r="366" spans="2:12">
      <c r="B366">
        <v>375.10999999999967</v>
      </c>
      <c r="C366">
        <v>1.4399999999999984</v>
      </c>
      <c r="D366">
        <v>0.21189079060251442</v>
      </c>
      <c r="E366">
        <v>0.63739072275462272</v>
      </c>
      <c r="F366">
        <v>6.4702315254729461</v>
      </c>
      <c r="G366">
        <v>93.52976847452706</v>
      </c>
      <c r="H366">
        <v>0.32289246689117701</v>
      </c>
      <c r="I366">
        <v>0.73468702019351984</v>
      </c>
      <c r="J366">
        <v>-3412.2314091336061</v>
      </c>
      <c r="K366">
        <v>581.92192073872604</v>
      </c>
      <c r="L366">
        <v>4</v>
      </c>
    </row>
    <row r="367" spans="2:12">
      <c r="B367">
        <v>376.87999999999965</v>
      </c>
      <c r="C367">
        <v>1.4399999999999984</v>
      </c>
      <c r="D367">
        <v>0.20639624400974022</v>
      </c>
      <c r="E367">
        <v>0.60073740484863436</v>
      </c>
      <c r="F367">
        <v>-2.8253287036716666</v>
      </c>
      <c r="G367">
        <v>102.82532870367167</v>
      </c>
      <c r="H367">
        <v>0.25545749430349218</v>
      </c>
      <c r="I367">
        <v>0.88568637980465581</v>
      </c>
      <c r="J367">
        <v>-3709.2560318039818</v>
      </c>
      <c r="K367">
        <v>597.06835799257954</v>
      </c>
      <c r="L367">
        <v>4</v>
      </c>
    </row>
    <row r="368" spans="2:12">
      <c r="B368">
        <v>341.48</v>
      </c>
      <c r="C368">
        <v>1.4549999999999983</v>
      </c>
      <c r="D368">
        <v>0.51528425019739732</v>
      </c>
      <c r="E368">
        <v>0.91239681844341625</v>
      </c>
      <c r="F368">
        <v>100</v>
      </c>
      <c r="G368">
        <v>0</v>
      </c>
      <c r="H368">
        <v>1.0384884574792115</v>
      </c>
      <c r="I368">
        <v>9.4691491943130215E-2</v>
      </c>
      <c r="J368">
        <v>-2153.3225582693103</v>
      </c>
      <c r="K368">
        <v>2314.2043105324142</v>
      </c>
      <c r="L368">
        <v>5</v>
      </c>
    </row>
    <row r="369" spans="2:12">
      <c r="B369">
        <v>343.25</v>
      </c>
      <c r="C369">
        <v>1.4549999999999983</v>
      </c>
      <c r="D369">
        <v>0.48458482077939663</v>
      </c>
      <c r="E369">
        <v>0.89514630912831883</v>
      </c>
      <c r="F369">
        <v>89.427243824531431</v>
      </c>
      <c r="G369">
        <v>10.572756175468569</v>
      </c>
      <c r="H369">
        <v>0.96245342133136813</v>
      </c>
      <c r="I369">
        <v>0.13360651797195067</v>
      </c>
      <c r="J369">
        <v>-2229.8707035871785</v>
      </c>
      <c r="K369">
        <v>2072.9260047522971</v>
      </c>
      <c r="L369">
        <v>5</v>
      </c>
    </row>
    <row r="370" spans="2:12">
      <c r="B370">
        <v>345.02</v>
      </c>
      <c r="C370">
        <v>1.4549999999999983</v>
      </c>
      <c r="D370">
        <v>0.46053509503230783</v>
      </c>
      <c r="E370">
        <v>0.87988749477192407</v>
      </c>
      <c r="F370">
        <v>81.713971208586088</v>
      </c>
      <c r="G370">
        <v>18.286028791413912</v>
      </c>
      <c r="H370">
        <v>0.90589083312222207</v>
      </c>
      <c r="I370">
        <v>0.16719233101231804</v>
      </c>
      <c r="J370">
        <v>-2295.9359734736422</v>
      </c>
      <c r="K370">
        <v>1902.5596559245305</v>
      </c>
      <c r="L370">
        <v>5</v>
      </c>
    </row>
    <row r="371" spans="2:12">
      <c r="B371">
        <v>346.78999999999996</v>
      </c>
      <c r="C371">
        <v>1.4549999999999983</v>
      </c>
      <c r="D371">
        <v>0.44056481041317708</v>
      </c>
      <c r="E371">
        <v>0.86633273339444083</v>
      </c>
      <c r="F371">
        <v>75.630504965990738</v>
      </c>
      <c r="G371">
        <v>24.369495034009262</v>
      </c>
      <c r="H371">
        <v>0.86040472666270262</v>
      </c>
      <c r="I371">
        <v>0.19650908884754328</v>
      </c>
      <c r="J371">
        <v>-2353.603760650697</v>
      </c>
      <c r="K371">
        <v>1770.0955181007939</v>
      </c>
      <c r="L371">
        <v>5</v>
      </c>
    </row>
    <row r="372" spans="2:12">
      <c r="B372">
        <v>348.55999999999995</v>
      </c>
      <c r="C372">
        <v>1.4549999999999983</v>
      </c>
      <c r="D372">
        <v>0.42319054031275743</v>
      </c>
      <c r="E372">
        <v>0.85409918358302306</v>
      </c>
      <c r="F372">
        <v>70.553912256238732</v>
      </c>
      <c r="G372">
        <v>29.446087743761268</v>
      </c>
      <c r="H372">
        <v>0.82175001386763147</v>
      </c>
      <c r="I372">
        <v>0.22255486844998826</v>
      </c>
      <c r="J372">
        <v>-2404.837341233389</v>
      </c>
      <c r="K372">
        <v>1659.7523992000883</v>
      </c>
      <c r="L372">
        <v>5</v>
      </c>
    </row>
    <row r="373" spans="2:12">
      <c r="B373">
        <v>350.32999999999993</v>
      </c>
      <c r="C373">
        <v>1.4549999999999983</v>
      </c>
      <c r="D373">
        <v>0.40750210729385128</v>
      </c>
      <c r="E373">
        <v>0.84286071290003861</v>
      </c>
      <c r="F373">
        <v>66.132873808015972</v>
      </c>
      <c r="G373">
        <v>33.867126191984028</v>
      </c>
      <c r="H373">
        <v>0.78753631715317551</v>
      </c>
      <c r="I373">
        <v>0.24609433630186792</v>
      </c>
      <c r="J373">
        <v>-2451.1408591726158</v>
      </c>
      <c r="K373">
        <v>1563.0426648728894</v>
      </c>
      <c r="L373">
        <v>5</v>
      </c>
    </row>
    <row r="374" spans="2:12">
      <c r="B374">
        <v>352.09999999999991</v>
      </c>
      <c r="C374">
        <v>1.4549999999999983</v>
      </c>
      <c r="D374">
        <v>0.39289903843850305</v>
      </c>
      <c r="E374">
        <v>0.83235851637643665</v>
      </c>
      <c r="F374">
        <v>62.150411207631038</v>
      </c>
      <c r="G374">
        <v>37.849588792368962</v>
      </c>
      <c r="H374">
        <v>0.75628933510765406</v>
      </c>
      <c r="I374">
        <v>0.26769586168802184</v>
      </c>
      <c r="J374">
        <v>-2493.6323302851442</v>
      </c>
      <c r="K374">
        <v>1474.9217510351382</v>
      </c>
      <c r="L374">
        <v>5</v>
      </c>
    </row>
    <row r="375" spans="2:12">
      <c r="B375">
        <v>353.86999999999989</v>
      </c>
      <c r="C375">
        <v>1.4549999999999983</v>
      </c>
      <c r="D375">
        <v>0.37895479172588636</v>
      </c>
      <c r="E375">
        <v>0.8223847146872918</v>
      </c>
      <c r="F375">
        <v>58.461547270721063</v>
      </c>
      <c r="G375">
        <v>41.538452729278937</v>
      </c>
      <c r="H375">
        <v>0.72702516901492686</v>
      </c>
      <c r="I375">
        <v>0.2877913255389743</v>
      </c>
      <c r="J375">
        <v>-2533.1612897660766</v>
      </c>
      <c r="K375">
        <v>1392.1264962484709</v>
      </c>
      <c r="L375">
        <v>5</v>
      </c>
    </row>
    <row r="376" spans="2:12">
      <c r="B376">
        <v>355.63999999999987</v>
      </c>
      <c r="C376">
        <v>1.4549999999999983</v>
      </c>
      <c r="D376">
        <v>0.36534291770547822</v>
      </c>
      <c r="E376">
        <v>0.81276292631601654</v>
      </c>
      <c r="F376">
        <v>54.961955955501061</v>
      </c>
      <c r="G376">
        <v>45.038044044498939</v>
      </c>
      <c r="H376">
        <v>0.69903652115894643</v>
      </c>
      <c r="I376">
        <v>0.30672985347743575</v>
      </c>
      <c r="J376">
        <v>-2570.4144882520854</v>
      </c>
      <c r="K376">
        <v>1312.3871466964818</v>
      </c>
      <c r="L376">
        <v>5</v>
      </c>
    </row>
    <row r="377" spans="2:12">
      <c r="B377">
        <v>357.40999999999985</v>
      </c>
      <c r="C377">
        <v>1.4549999999999983</v>
      </c>
      <c r="D377">
        <v>0.35179542553073107</v>
      </c>
      <c r="E377">
        <v>0.80332943398468359</v>
      </c>
      <c r="F377">
        <v>51.570749368101026</v>
      </c>
      <c r="G377">
        <v>48.429250631898974</v>
      </c>
      <c r="H377">
        <v>0.67177538857655539</v>
      </c>
      <c r="I377">
        <v>0.32482728492038676</v>
      </c>
      <c r="J377">
        <v>-2606.013200455161</v>
      </c>
      <c r="K377">
        <v>1234.0343247051624</v>
      </c>
      <c r="L377">
        <v>5</v>
      </c>
    </row>
    <row r="378" spans="2:12">
      <c r="B378">
        <v>359.17999999999984</v>
      </c>
      <c r="C378">
        <v>1.4549999999999983</v>
      </c>
      <c r="D378">
        <v>0.33808001813756927</v>
      </c>
      <c r="E378">
        <v>0.79391266222509149</v>
      </c>
      <c r="F378">
        <v>48.220026625437633</v>
      </c>
      <c r="G378">
        <v>51.779973374562367</v>
      </c>
      <c r="H378">
        <v>0.64478195240588942</v>
      </c>
      <c r="I378">
        <v>0.34242246534879345</v>
      </c>
      <c r="J378">
        <v>-2640.6239553684504</v>
      </c>
      <c r="K378">
        <v>1155.8125164250682</v>
      </c>
      <c r="L378">
        <v>4</v>
      </c>
    </row>
    <row r="379" spans="2:12">
      <c r="B379">
        <v>360.94999999999982</v>
      </c>
      <c r="C379">
        <v>1.4549999999999983</v>
      </c>
      <c r="D379">
        <v>0.32399262872188855</v>
      </c>
      <c r="E379">
        <v>0.78430666883597877</v>
      </c>
      <c r="F379">
        <v>44.847780631536459</v>
      </c>
      <c r="G379">
        <v>55.152219368463541</v>
      </c>
      <c r="H379">
        <v>0.61763631794831308</v>
      </c>
      <c r="I379">
        <v>0.35995715256252797</v>
      </c>
      <c r="J379">
        <v>-2675.1157165700552</v>
      </c>
      <c r="K379">
        <v>1076.8355255940039</v>
      </c>
      <c r="L379">
        <v>4</v>
      </c>
    </row>
    <row r="380" spans="2:12">
      <c r="B380">
        <v>362.7199999999998</v>
      </c>
      <c r="C380">
        <v>1.4549999999999983</v>
      </c>
      <c r="D380">
        <v>0.309369216923844</v>
      </c>
      <c r="E380">
        <v>0.77423258135351891</v>
      </c>
      <c r="F380">
        <v>41.392356534864177</v>
      </c>
      <c r="G380">
        <v>58.607643465135823</v>
      </c>
      <c r="H380">
        <v>0.58992082908053112</v>
      </c>
      <c r="I380">
        <v>0.37810555121314871</v>
      </c>
      <c r="J380">
        <v>-2710.8146842686879</v>
      </c>
      <c r="K380">
        <v>996.68374982530793</v>
      </c>
      <c r="L380">
        <v>4</v>
      </c>
    </row>
    <row r="381" spans="2:12">
      <c r="B381">
        <v>364.48999999999978</v>
      </c>
      <c r="C381">
        <v>1.4549999999999983</v>
      </c>
      <c r="D381">
        <v>0.29412803193916393</v>
      </c>
      <c r="E381">
        <v>0.76328175997883219</v>
      </c>
      <c r="F381">
        <v>37.787208981589885</v>
      </c>
      <c r="G381">
        <v>62.212791018410115</v>
      </c>
      <c r="H381">
        <v>0.5611844140702873</v>
      </c>
      <c r="I381">
        <v>0.39798946243347394</v>
      </c>
      <c r="J381">
        <v>-2749.9275072809041</v>
      </c>
      <c r="K381">
        <v>915.678358094705</v>
      </c>
      <c r="L381">
        <v>4</v>
      </c>
    </row>
    <row r="382" spans="2:12">
      <c r="B382">
        <v>366.25999999999976</v>
      </c>
      <c r="C382">
        <v>1.4549999999999983</v>
      </c>
      <c r="D382">
        <v>0.27835717076271932</v>
      </c>
      <c r="E382">
        <v>0.75084453478355084</v>
      </c>
      <c r="F382">
        <v>33.954950785234679</v>
      </c>
      <c r="G382">
        <v>66.045049214765328</v>
      </c>
      <c r="H382">
        <v>0.53090210211947875</v>
      </c>
      <c r="I382">
        <v>0.42150432028838031</v>
      </c>
      <c r="J382">
        <v>-2796.1826159084376</v>
      </c>
      <c r="K382">
        <v>835.35340276785882</v>
      </c>
      <c r="L382">
        <v>4</v>
      </c>
    </row>
    <row r="383" spans="2:12">
      <c r="B383">
        <v>368.02999999999975</v>
      </c>
      <c r="C383">
        <v>1.4549999999999983</v>
      </c>
      <c r="D383">
        <v>0.26243992991741638</v>
      </c>
      <c r="E383">
        <v>0.73606461017159874</v>
      </c>
      <c r="F383">
        <v>29.79944882120985</v>
      </c>
      <c r="G383">
        <v>70.20055117879015</v>
      </c>
      <c r="H383">
        <v>0.49842126057474206</v>
      </c>
      <c r="I383">
        <v>0.45169814569964467</v>
      </c>
      <c r="J383">
        <v>-2855.575646599772</v>
      </c>
      <c r="K383">
        <v>758.97651580219372</v>
      </c>
      <c r="L383">
        <v>4</v>
      </c>
    </row>
    <row r="384" spans="2:12">
      <c r="B384">
        <v>369.79999999999973</v>
      </c>
      <c r="C384">
        <v>1.4549999999999983</v>
      </c>
      <c r="D384">
        <v>0.24713255706708182</v>
      </c>
      <c r="E384">
        <v>0.71791961942494609</v>
      </c>
      <c r="F384">
        <v>25.194378710646351</v>
      </c>
      <c r="G384">
        <v>74.805621289353653</v>
      </c>
      <c r="H384">
        <v>0.46288361947231371</v>
      </c>
      <c r="I384">
        <v>0.49296252835138499</v>
      </c>
      <c r="J384">
        <v>-2936.7451145923715</v>
      </c>
      <c r="K384">
        <v>691.59864398664297</v>
      </c>
      <c r="L384">
        <v>4</v>
      </c>
    </row>
    <row r="385" spans="2:12">
      <c r="B385">
        <v>371.56999999999971</v>
      </c>
      <c r="C385">
        <v>1.4549999999999983</v>
      </c>
      <c r="D385">
        <v>0.23343092191935738</v>
      </c>
      <c r="E385">
        <v>0.69550046775044039</v>
      </c>
      <c r="F385">
        <v>19.964431632665146</v>
      </c>
      <c r="G385">
        <v>80.035568367334861</v>
      </c>
      <c r="H385">
        <v>0.42309749585164991</v>
      </c>
      <c r="I385">
        <v>0.55078187806516021</v>
      </c>
      <c r="J385">
        <v>-3050.4791766175858</v>
      </c>
      <c r="K385">
        <v>639.02670927748261</v>
      </c>
      <c r="L385">
        <v>4</v>
      </c>
    </row>
    <row r="386" spans="2:12">
      <c r="B386">
        <v>373.33999999999969</v>
      </c>
      <c r="C386">
        <v>1.4549999999999983</v>
      </c>
      <c r="D386">
        <v>0.22221498220947122</v>
      </c>
      <c r="E386">
        <v>0.66833018271661337</v>
      </c>
      <c r="F386">
        <v>13.853983946461856</v>
      </c>
      <c r="G386">
        <v>86.146016053538148</v>
      </c>
      <c r="H386">
        <v>0.37732447252471168</v>
      </c>
      <c r="I386">
        <v>0.63138359097198504</v>
      </c>
      <c r="J386">
        <v>-3209.0274871825404</v>
      </c>
      <c r="K386">
        <v>606.24378233583514</v>
      </c>
      <c r="L386">
        <v>4</v>
      </c>
    </row>
    <row r="387" spans="2:12">
      <c r="B387">
        <v>375.10999999999967</v>
      </c>
      <c r="C387">
        <v>1.4549999999999983</v>
      </c>
      <c r="D387">
        <v>0.21396066444399386</v>
      </c>
      <c r="E387">
        <v>0.63640366141185456</v>
      </c>
      <c r="F387">
        <v>6.4702315254729461</v>
      </c>
      <c r="G387">
        <v>93.52976847452706</v>
      </c>
      <c r="H387">
        <v>0.32289246689117701</v>
      </c>
      <c r="I387">
        <v>0.74234000998720229</v>
      </c>
      <c r="J387">
        <v>-3427.2852902336499</v>
      </c>
      <c r="K387">
        <v>596.97580183876983</v>
      </c>
      <c r="L387">
        <v>4</v>
      </c>
    </row>
    <row r="388" spans="2:12">
      <c r="B388">
        <v>376.87999999999965</v>
      </c>
      <c r="C388">
        <v>1.4549999999999983</v>
      </c>
      <c r="D388">
        <v>0.20875092933969935</v>
      </c>
      <c r="E388">
        <v>0.59992949662356676</v>
      </c>
      <c r="F388">
        <v>-2.8253287036716666</v>
      </c>
      <c r="G388">
        <v>102.82532870367167</v>
      </c>
      <c r="H388">
        <v>0.25545749430349218</v>
      </c>
      <c r="I388">
        <v>0.89491227959428754</v>
      </c>
      <c r="J388">
        <v>-3727.4039193901754</v>
      </c>
      <c r="K388">
        <v>615.2162455787726</v>
      </c>
      <c r="L388">
        <v>4</v>
      </c>
    </row>
    <row r="389" spans="2:12">
      <c r="B389">
        <v>341.48</v>
      </c>
      <c r="C389">
        <v>1.4699999999999982</v>
      </c>
      <c r="D389">
        <v>0.51527109460191323</v>
      </c>
      <c r="E389">
        <v>0.91204185659364767</v>
      </c>
      <c r="F389">
        <v>100</v>
      </c>
      <c r="G389">
        <v>0</v>
      </c>
      <c r="H389">
        <v>1.0384884574792115</v>
      </c>
      <c r="I389">
        <v>9.5667692890997538E-2</v>
      </c>
      <c r="J389">
        <v>-2155.2428029573507</v>
      </c>
      <c r="K389">
        <v>2316.1245552204546</v>
      </c>
      <c r="L389">
        <v>5</v>
      </c>
    </row>
    <row r="390" spans="2:12">
      <c r="B390">
        <v>343.25</v>
      </c>
      <c r="C390">
        <v>1.4699999999999982</v>
      </c>
      <c r="D390">
        <v>0.48460416827525321</v>
      </c>
      <c r="E390">
        <v>0.89465036344587079</v>
      </c>
      <c r="F390">
        <v>89.427243824531431</v>
      </c>
      <c r="G390">
        <v>10.572756175468569</v>
      </c>
      <c r="H390">
        <v>0.96245342133136813</v>
      </c>
      <c r="I390">
        <v>0.13498390475516667</v>
      </c>
      <c r="J390">
        <v>-2232.5801044125164</v>
      </c>
      <c r="K390">
        <v>2075.6354055776351</v>
      </c>
      <c r="L390">
        <v>5</v>
      </c>
    </row>
    <row r="391" spans="2:12">
      <c r="B391">
        <v>345.02</v>
      </c>
      <c r="C391">
        <v>1.4699999999999982</v>
      </c>
      <c r="D391">
        <v>0.46059838360128258</v>
      </c>
      <c r="E391">
        <v>0.87927828170185041</v>
      </c>
      <c r="F391">
        <v>81.713971208586088</v>
      </c>
      <c r="G391">
        <v>18.286028791413912</v>
      </c>
      <c r="H391">
        <v>0.90589083312222207</v>
      </c>
      <c r="I391">
        <v>0.16891596329079553</v>
      </c>
      <c r="J391">
        <v>-2299.3264595555415</v>
      </c>
      <c r="K391">
        <v>1905.9501420064296</v>
      </c>
      <c r="L391">
        <v>5</v>
      </c>
    </row>
    <row r="392" spans="2:12">
      <c r="B392">
        <v>346.78999999999996</v>
      </c>
      <c r="C392">
        <v>1.4699999999999982</v>
      </c>
      <c r="D392">
        <v>0.44067851640134859</v>
      </c>
      <c r="E392">
        <v>0.86563189899415127</v>
      </c>
      <c r="F392">
        <v>75.630504965990738</v>
      </c>
      <c r="G392">
        <v>24.369495034009262</v>
      </c>
      <c r="H392">
        <v>0.86040472666270262</v>
      </c>
      <c r="I392">
        <v>0.19853495574287877</v>
      </c>
      <c r="J392">
        <v>-2357.588760002463</v>
      </c>
      <c r="K392">
        <v>1774.0805174525599</v>
      </c>
      <c r="L392">
        <v>5</v>
      </c>
    </row>
    <row r="393" spans="2:12">
      <c r="B393">
        <v>348.55999999999995</v>
      </c>
      <c r="C393">
        <v>1.4699999999999982</v>
      </c>
      <c r="D393">
        <v>0.42335892385853158</v>
      </c>
      <c r="E393">
        <v>0.85332291883216782</v>
      </c>
      <c r="F393">
        <v>70.553912256238732</v>
      </c>
      <c r="G393">
        <v>29.446087743761268</v>
      </c>
      <c r="H393">
        <v>0.82175001386763147</v>
      </c>
      <c r="I393">
        <v>0.2248492485371015</v>
      </c>
      <c r="J393">
        <v>-2409.3505218282753</v>
      </c>
      <c r="K393">
        <v>1664.2655797949747</v>
      </c>
      <c r="L393">
        <v>5</v>
      </c>
    </row>
    <row r="394" spans="2:12">
      <c r="B394">
        <v>350.32999999999993</v>
      </c>
      <c r="C394">
        <v>1.4699999999999982</v>
      </c>
      <c r="D394">
        <v>0.40772858823945796</v>
      </c>
      <c r="E394">
        <v>0.8420212189808024</v>
      </c>
      <c r="F394">
        <v>66.132873808015972</v>
      </c>
      <c r="G394">
        <v>33.867126191984028</v>
      </c>
      <c r="H394">
        <v>0.78753631715317551</v>
      </c>
      <c r="I394">
        <v>0.24863139131528922</v>
      </c>
      <c r="J394">
        <v>-2456.1313956225454</v>
      </c>
      <c r="K394">
        <v>1568.0332013228192</v>
      </c>
      <c r="L394">
        <v>5</v>
      </c>
    </row>
    <row r="395" spans="2:12">
      <c r="B395">
        <v>352.09999999999991</v>
      </c>
      <c r="C395">
        <v>1.4699999999999982</v>
      </c>
      <c r="D395">
        <v>0.39318691129590422</v>
      </c>
      <c r="E395">
        <v>0.83146518176584128</v>
      </c>
      <c r="F395">
        <v>62.150411207631038</v>
      </c>
      <c r="G395">
        <v>37.849588792368962</v>
      </c>
      <c r="H395">
        <v>0.75628933510765406</v>
      </c>
      <c r="I395">
        <v>0.27045561283944469</v>
      </c>
      <c r="J395">
        <v>-2499.0609231382959</v>
      </c>
      <c r="K395">
        <v>1480.3503438882899</v>
      </c>
      <c r="L395">
        <v>5</v>
      </c>
    </row>
    <row r="396" spans="2:12">
      <c r="B396">
        <v>353.86999999999989</v>
      </c>
      <c r="C396">
        <v>1.4699999999999982</v>
      </c>
      <c r="D396">
        <v>0.37930764828714403</v>
      </c>
      <c r="E396">
        <v>0.82144493719879352</v>
      </c>
      <c r="F396">
        <v>58.461547270721063</v>
      </c>
      <c r="G396">
        <v>41.538452729278937</v>
      </c>
      <c r="H396">
        <v>0.72702516901492686</v>
      </c>
      <c r="I396">
        <v>0.29075824642081938</v>
      </c>
      <c r="J396">
        <v>-2538.9973976654237</v>
      </c>
      <c r="K396">
        <v>1397.962604147818</v>
      </c>
      <c r="L396">
        <v>5</v>
      </c>
    </row>
    <row r="397" spans="2:12">
      <c r="B397">
        <v>355.63999999999987</v>
      </c>
      <c r="C397">
        <v>1.4699999999999982</v>
      </c>
      <c r="D397">
        <v>0.36576495721196339</v>
      </c>
      <c r="E397">
        <v>0.8117826710719549</v>
      </c>
      <c r="F397">
        <v>54.961955955501061</v>
      </c>
      <c r="G397">
        <v>45.038044044498939</v>
      </c>
      <c r="H397">
        <v>0.69903652115894643</v>
      </c>
      <c r="I397">
        <v>0.30989201691534746</v>
      </c>
      <c r="J397">
        <v>-2576.6346497440718</v>
      </c>
      <c r="K397">
        <v>1318.6073081884679</v>
      </c>
      <c r="L397">
        <v>5</v>
      </c>
    </row>
    <row r="398" spans="2:12">
      <c r="B398">
        <v>357.40999999999985</v>
      </c>
      <c r="C398">
        <v>1.4699999999999982</v>
      </c>
      <c r="D398">
        <v>0.35229174747809699</v>
      </c>
      <c r="E398">
        <v>0.80231361476380059</v>
      </c>
      <c r="F398">
        <v>51.570749368101026</v>
      </c>
      <c r="G398">
        <v>48.429250631898974</v>
      </c>
      <c r="H398">
        <v>0.67177538857655539</v>
      </c>
      <c r="I398">
        <v>0.32817601981647321</v>
      </c>
      <c r="J398">
        <v>-2612.6003589801685</v>
      </c>
      <c r="K398">
        <v>1240.6214832301703</v>
      </c>
      <c r="L398">
        <v>5</v>
      </c>
    </row>
    <row r="399" spans="2:12">
      <c r="B399">
        <v>359.17999999999984</v>
      </c>
      <c r="C399">
        <v>1.4699999999999982</v>
      </c>
      <c r="D399">
        <v>0.33865696212954444</v>
      </c>
      <c r="E399">
        <v>0.79286540948527673</v>
      </c>
      <c r="F399">
        <v>48.220026625437633</v>
      </c>
      <c r="G399">
        <v>51.779973374562367</v>
      </c>
      <c r="H399">
        <v>0.64478195240588942</v>
      </c>
      <c r="I399">
        <v>0.3459525938575439</v>
      </c>
      <c r="J399">
        <v>-2647.5679257997808</v>
      </c>
      <c r="K399">
        <v>1162.7564868563984</v>
      </c>
      <c r="L399">
        <v>4</v>
      </c>
    </row>
    <row r="400" spans="2:12">
      <c r="B400">
        <v>360.94999999999982</v>
      </c>
      <c r="C400">
        <v>1.4699999999999982</v>
      </c>
      <c r="D400">
        <v>0.32465821781655546</v>
      </c>
      <c r="E400">
        <v>0.78323153535182888</v>
      </c>
      <c r="F400">
        <v>44.847780631536459</v>
      </c>
      <c r="G400">
        <v>55.152219368463541</v>
      </c>
      <c r="H400">
        <v>0.61763631794831308</v>
      </c>
      <c r="I400">
        <v>0.36366805104255401</v>
      </c>
      <c r="J400">
        <v>-2682.4152721684122</v>
      </c>
      <c r="K400">
        <v>1084.135081192361</v>
      </c>
      <c r="L400">
        <v>4</v>
      </c>
    </row>
    <row r="401" spans="2:12">
      <c r="B401">
        <v>362.7199999999998</v>
      </c>
      <c r="C401">
        <v>1.4699999999999982</v>
      </c>
      <c r="D401">
        <v>0.31013375985439395</v>
      </c>
      <c r="E401">
        <v>0.77313274544025745</v>
      </c>
      <c r="F401">
        <v>41.392356534864177</v>
      </c>
      <c r="G401">
        <v>58.607643465135823</v>
      </c>
      <c r="H401">
        <v>0.58992082908053112</v>
      </c>
      <c r="I401">
        <v>0.38200354658648011</v>
      </c>
      <c r="J401">
        <v>-2718.4822704618764</v>
      </c>
      <c r="K401">
        <v>1004.3513360184966</v>
      </c>
      <c r="L401">
        <v>4</v>
      </c>
    </row>
    <row r="402" spans="2:12">
      <c r="B402">
        <v>364.48999999999978</v>
      </c>
      <c r="C402">
        <v>1.4699999999999982</v>
      </c>
      <c r="D402">
        <v>0.29500492357451719</v>
      </c>
      <c r="E402">
        <v>0.76216033691555085</v>
      </c>
      <c r="F402">
        <v>37.787208981589885</v>
      </c>
      <c r="G402">
        <v>62.212791018410115</v>
      </c>
      <c r="H402">
        <v>0.5611844140702873</v>
      </c>
      <c r="I402">
        <v>0.40209244658227261</v>
      </c>
      <c r="J402">
        <v>-2757.9983184535999</v>
      </c>
      <c r="K402">
        <v>923.74916926740082</v>
      </c>
      <c r="L402">
        <v>4</v>
      </c>
    </row>
    <row r="403" spans="2:12">
      <c r="B403">
        <v>366.25999999999976</v>
      </c>
      <c r="C403">
        <v>1.4699999999999982</v>
      </c>
      <c r="D403">
        <v>0.27936383509411455</v>
      </c>
      <c r="E403">
        <v>0.74970524123292703</v>
      </c>
      <c r="F403">
        <v>33.954950785234679</v>
      </c>
      <c r="G403">
        <v>66.045049214765328</v>
      </c>
      <c r="H403">
        <v>0.53090210211947875</v>
      </c>
      <c r="I403">
        <v>0.42584972565217805</v>
      </c>
      <c r="J403">
        <v>-2804.730283871108</v>
      </c>
      <c r="K403">
        <v>843.90107073052923</v>
      </c>
      <c r="L403">
        <v>4</v>
      </c>
    </row>
    <row r="404" spans="2:12">
      <c r="B404">
        <v>368.02999999999975</v>
      </c>
      <c r="C404">
        <v>1.4699999999999982</v>
      </c>
      <c r="D404">
        <v>0.26359856982852126</v>
      </c>
      <c r="E404">
        <v>0.73491326399271795</v>
      </c>
      <c r="F404">
        <v>29.79944882120985</v>
      </c>
      <c r="G404">
        <v>70.20055117879015</v>
      </c>
      <c r="H404">
        <v>0.49842126057474206</v>
      </c>
      <c r="I404">
        <v>0.45635482761407398</v>
      </c>
      <c r="J404">
        <v>-2864.7356138479199</v>
      </c>
      <c r="K404">
        <v>768.13648305034167</v>
      </c>
      <c r="L404">
        <v>4</v>
      </c>
    </row>
    <row r="405" spans="2:12">
      <c r="B405">
        <v>369.79999999999973</v>
      </c>
      <c r="C405">
        <v>1.4699999999999982</v>
      </c>
      <c r="D405">
        <v>0.24846990415459341</v>
      </c>
      <c r="E405">
        <v>0.71676710186487846</v>
      </c>
      <c r="F405">
        <v>25.194378710646351</v>
      </c>
      <c r="G405">
        <v>74.805621289353653</v>
      </c>
      <c r="H405">
        <v>0.46288361947231371</v>
      </c>
      <c r="I405">
        <v>0.49804461627253327</v>
      </c>
      <c r="J405">
        <v>-2946.7418804796184</v>
      </c>
      <c r="K405">
        <v>701.59540987388993</v>
      </c>
      <c r="L405">
        <v>4</v>
      </c>
    </row>
    <row r="406" spans="2:12">
      <c r="B406">
        <v>371.56999999999971</v>
      </c>
      <c r="C406">
        <v>1.4699999999999982</v>
      </c>
      <c r="D406">
        <v>0.23497613269288839</v>
      </c>
      <c r="E406">
        <v>0.69436721767067333</v>
      </c>
      <c r="F406">
        <v>19.964431632665146</v>
      </c>
      <c r="G406">
        <v>80.035568367334861</v>
      </c>
      <c r="H406">
        <v>0.42309749585164991</v>
      </c>
      <c r="I406">
        <v>0.55646004175655361</v>
      </c>
      <c r="J406">
        <v>-3061.6484586081856</v>
      </c>
      <c r="K406">
        <v>650.19599126808237</v>
      </c>
      <c r="L406">
        <v>4</v>
      </c>
    </row>
    <row r="407" spans="2:12">
      <c r="B407">
        <v>373.33999999999969</v>
      </c>
      <c r="C407">
        <v>1.4699999999999982</v>
      </c>
      <c r="D407">
        <v>0.22399601296770433</v>
      </c>
      <c r="E407">
        <v>0.66725092640775319</v>
      </c>
      <c r="F407">
        <v>13.853983946461856</v>
      </c>
      <c r="G407">
        <v>86.146016053538148</v>
      </c>
      <c r="H407">
        <v>0.37732447252471168</v>
      </c>
      <c r="I407">
        <v>0.63789270015726318</v>
      </c>
      <c r="J407">
        <v>-3221.8312878387578</v>
      </c>
      <c r="K407">
        <v>619.04758299205275</v>
      </c>
      <c r="L407">
        <v>4</v>
      </c>
    </row>
    <row r="408" spans="2:12">
      <c r="B408">
        <v>375.10999999999967</v>
      </c>
      <c r="C408">
        <v>1.4699999999999982</v>
      </c>
      <c r="D408">
        <v>0.21600100908804235</v>
      </c>
      <c r="E408">
        <v>0.63543068166608185</v>
      </c>
      <c r="F408">
        <v>6.4702315254729461</v>
      </c>
      <c r="G408">
        <v>93.52976847452706</v>
      </c>
      <c r="H408">
        <v>0.32289246689117701</v>
      </c>
      <c r="I408">
        <v>0.74999299978088474</v>
      </c>
      <c r="J408">
        <v>-3442.3391713336937</v>
      </c>
      <c r="K408">
        <v>612.02968293881327</v>
      </c>
      <c r="L408">
        <v>4</v>
      </c>
    </row>
    <row r="409" spans="2:12">
      <c r="B409">
        <v>376.87999999999965</v>
      </c>
      <c r="C409">
        <v>1.4699999999999982</v>
      </c>
      <c r="D409">
        <v>0.21106814628066195</v>
      </c>
      <c r="E409">
        <v>0.59913444405240146</v>
      </c>
      <c r="F409">
        <v>-2.8253287036716666</v>
      </c>
      <c r="G409">
        <v>102.82532870367167</v>
      </c>
      <c r="H409">
        <v>0.25545749430349218</v>
      </c>
      <c r="I409">
        <v>0.90413817938391938</v>
      </c>
      <c r="J409">
        <v>-3745.5518069763689</v>
      </c>
      <c r="K409">
        <v>633.36413316496623</v>
      </c>
      <c r="L409">
        <v>4</v>
      </c>
    </row>
    <row r="410" spans="2:12">
      <c r="B410">
        <v>341.48</v>
      </c>
      <c r="C410">
        <v>1.4849999999999981</v>
      </c>
      <c r="D410">
        <v>0.51525796163375492</v>
      </c>
      <c r="E410">
        <v>0.91168750527020881</v>
      </c>
      <c r="F410">
        <v>100</v>
      </c>
      <c r="G410">
        <v>0</v>
      </c>
      <c r="H410">
        <v>1.0384884574792115</v>
      </c>
      <c r="I410">
        <v>9.6643893838864847E-2</v>
      </c>
      <c r="J410">
        <v>-2157.1630476453906</v>
      </c>
      <c r="K410">
        <v>2318.0447999084945</v>
      </c>
      <c r="L410">
        <v>5</v>
      </c>
    </row>
    <row r="411" spans="2:12">
      <c r="B411">
        <v>343.25</v>
      </c>
      <c r="C411">
        <v>1.4849999999999981</v>
      </c>
      <c r="D411">
        <v>0.48462346726614397</v>
      </c>
      <c r="E411">
        <v>0.89415566111959599</v>
      </c>
      <c r="F411">
        <v>89.427243824531431</v>
      </c>
      <c r="G411">
        <v>10.572756175468569</v>
      </c>
      <c r="H411">
        <v>0.96245342133136813</v>
      </c>
      <c r="I411">
        <v>0.13636129153838264</v>
      </c>
      <c r="J411">
        <v>-2235.289505237854</v>
      </c>
      <c r="K411">
        <v>2078.3448064029726</v>
      </c>
      <c r="L411">
        <v>5</v>
      </c>
    </row>
    <row r="412" spans="2:12">
      <c r="B412">
        <v>345.02</v>
      </c>
      <c r="C412">
        <v>1.4849999999999981</v>
      </c>
      <c r="D412">
        <v>0.46066146950767128</v>
      </c>
      <c r="E412">
        <v>0.87867101945320092</v>
      </c>
      <c r="F412">
        <v>81.713971208586088</v>
      </c>
      <c r="G412">
        <v>18.286028791413912</v>
      </c>
      <c r="H412">
        <v>0.90589083312222207</v>
      </c>
      <c r="I412">
        <v>0.17063959556927302</v>
      </c>
      <c r="J412">
        <v>-2302.7169456374409</v>
      </c>
      <c r="K412">
        <v>1909.3406280883289</v>
      </c>
      <c r="L412">
        <v>5</v>
      </c>
    </row>
    <row r="413" spans="2:12">
      <c r="B413">
        <v>346.78999999999996</v>
      </c>
      <c r="C413">
        <v>1.4849999999999981</v>
      </c>
      <c r="D413">
        <v>0.44079178815638714</v>
      </c>
      <c r="E413">
        <v>0.86493374101857989</v>
      </c>
      <c r="F413">
        <v>75.630504965990738</v>
      </c>
      <c r="G413">
        <v>24.369495034009262</v>
      </c>
      <c r="H413">
        <v>0.86040472666270262</v>
      </c>
      <c r="I413">
        <v>0.20056082263821426</v>
      </c>
      <c r="J413">
        <v>-2361.5737593542285</v>
      </c>
      <c r="K413">
        <v>1778.0655168043256</v>
      </c>
      <c r="L413">
        <v>5</v>
      </c>
    </row>
    <row r="414" spans="2:12">
      <c r="B414">
        <v>348.55999999999995</v>
      </c>
      <c r="C414">
        <v>1.4849999999999981</v>
      </c>
      <c r="D414">
        <v>0.42352657075029476</v>
      </c>
      <c r="E414">
        <v>0.85255005012894691</v>
      </c>
      <c r="F414">
        <v>70.553912256238732</v>
      </c>
      <c r="G414">
        <v>29.446087743761268</v>
      </c>
      <c r="H414">
        <v>0.82175001386763147</v>
      </c>
      <c r="I414">
        <v>0.22714362862421478</v>
      </c>
      <c r="J414">
        <v>-2413.8637024231616</v>
      </c>
      <c r="K414">
        <v>1668.7787603898612</v>
      </c>
      <c r="L414">
        <v>5</v>
      </c>
    </row>
    <row r="415" spans="2:12">
      <c r="B415">
        <v>350.32999999999993</v>
      </c>
      <c r="C415">
        <v>1.4849999999999981</v>
      </c>
      <c r="D415">
        <v>0.40795396281752166</v>
      </c>
      <c r="E415">
        <v>0.84118582601947334</v>
      </c>
      <c r="F415">
        <v>66.132873808015972</v>
      </c>
      <c r="G415">
        <v>33.867126191984028</v>
      </c>
      <c r="H415">
        <v>0.78753631715317551</v>
      </c>
      <c r="I415">
        <v>0.25116844632871055</v>
      </c>
      <c r="J415">
        <v>-2461.1219320724754</v>
      </c>
      <c r="K415">
        <v>1573.0237377727492</v>
      </c>
      <c r="L415">
        <v>5</v>
      </c>
    </row>
    <row r="416" spans="2:12">
      <c r="B416">
        <v>352.09999999999991</v>
      </c>
      <c r="C416">
        <v>1.4849999999999981</v>
      </c>
      <c r="D416">
        <v>0.39347324077530949</v>
      </c>
      <c r="E416">
        <v>0.83057663660637193</v>
      </c>
      <c r="F416">
        <v>62.150411207631038</v>
      </c>
      <c r="G416">
        <v>37.849588792368962</v>
      </c>
      <c r="H416">
        <v>0.75628933510765406</v>
      </c>
      <c r="I416">
        <v>0.2732153639908676</v>
      </c>
      <c r="J416">
        <v>-2504.4895159914481</v>
      </c>
      <c r="K416">
        <v>1485.7789367414418</v>
      </c>
      <c r="L416">
        <v>5</v>
      </c>
    </row>
    <row r="417" spans="2:12">
      <c r="B417">
        <v>353.86999999999989</v>
      </c>
      <c r="C417">
        <v>1.4849999999999981</v>
      </c>
      <c r="D417">
        <v>0.37965845361714046</v>
      </c>
      <c r="E417">
        <v>0.8205106228394381</v>
      </c>
      <c r="F417">
        <v>58.461547270721063</v>
      </c>
      <c r="G417">
        <v>41.538452729278937</v>
      </c>
      <c r="H417">
        <v>0.72702516901492686</v>
      </c>
      <c r="I417">
        <v>0.29372516730266446</v>
      </c>
      <c r="J417">
        <v>-2544.8335055647708</v>
      </c>
      <c r="K417">
        <v>1403.7987120471651</v>
      </c>
      <c r="L417">
        <v>5</v>
      </c>
    </row>
    <row r="418" spans="2:12">
      <c r="B418">
        <v>355.63999999999987</v>
      </c>
      <c r="C418">
        <v>1.4849999999999981</v>
      </c>
      <c r="D418">
        <v>0.36618435948861372</v>
      </c>
      <c r="E418">
        <v>0.81080854122216461</v>
      </c>
      <c r="F418">
        <v>54.961955955501061</v>
      </c>
      <c r="G418">
        <v>45.038044044498939</v>
      </c>
      <c r="H418">
        <v>0.69903652115894643</v>
      </c>
      <c r="I418">
        <v>0.31305418035325916</v>
      </c>
      <c r="J418">
        <v>-2582.8548112360581</v>
      </c>
      <c r="K418">
        <v>1324.8274696804542</v>
      </c>
      <c r="L418">
        <v>5</v>
      </c>
    </row>
    <row r="419" spans="2:12">
      <c r="B419">
        <v>357.40999999999985</v>
      </c>
      <c r="C419">
        <v>1.4849999999999981</v>
      </c>
      <c r="D419">
        <v>0.3527847562581401</v>
      </c>
      <c r="E419">
        <v>0.80130457658305965</v>
      </c>
      <c r="F419">
        <v>51.570749368101026</v>
      </c>
      <c r="G419">
        <v>48.429250631898974</v>
      </c>
      <c r="H419">
        <v>0.67177538857655539</v>
      </c>
      <c r="I419">
        <v>0.33152475471255966</v>
      </c>
      <c r="J419">
        <v>-2619.1875175051764</v>
      </c>
      <c r="K419">
        <v>1247.208641755178</v>
      </c>
      <c r="L419">
        <v>4</v>
      </c>
    </row>
    <row r="420" spans="2:12">
      <c r="B420">
        <v>359.17999999999984</v>
      </c>
      <c r="C420">
        <v>1.4849999999999981</v>
      </c>
      <c r="D420">
        <v>0.33922980925177115</v>
      </c>
      <c r="E420">
        <v>0.79182559326985325</v>
      </c>
      <c r="F420">
        <v>48.220026625437633</v>
      </c>
      <c r="G420">
        <v>51.779973374562367</v>
      </c>
      <c r="H420">
        <v>0.64478195240588942</v>
      </c>
      <c r="I420">
        <v>0.34948272236629435</v>
      </c>
      <c r="J420">
        <v>-2654.5118962311108</v>
      </c>
      <c r="K420">
        <v>1169.7004572877288</v>
      </c>
      <c r="L420">
        <v>4</v>
      </c>
    </row>
    <row r="421" spans="2:12">
      <c r="B421">
        <v>360.94999999999982</v>
      </c>
      <c r="C421">
        <v>1.4849999999999981</v>
      </c>
      <c r="D421">
        <v>0.32531879189543272</v>
      </c>
      <c r="E421">
        <v>0.78216450267858795</v>
      </c>
      <c r="F421">
        <v>44.847780631536459</v>
      </c>
      <c r="G421">
        <v>55.152219368463541</v>
      </c>
      <c r="H421">
        <v>0.61763631794831308</v>
      </c>
      <c r="I421">
        <v>0.36737894952258004</v>
      </c>
      <c r="J421">
        <v>-2689.7148277667693</v>
      </c>
      <c r="K421">
        <v>1091.4346367907181</v>
      </c>
      <c r="L421">
        <v>4</v>
      </c>
    </row>
    <row r="422" spans="2:12">
      <c r="B422">
        <v>362.7199999999998</v>
      </c>
      <c r="C422">
        <v>1.4849999999999981</v>
      </c>
      <c r="D422">
        <v>0.31089219473722041</v>
      </c>
      <c r="E422">
        <v>0.77204169628046382</v>
      </c>
      <c r="F422">
        <v>41.392356534864177</v>
      </c>
      <c r="G422">
        <v>58.607643465135823</v>
      </c>
      <c r="H422">
        <v>0.58992082908053112</v>
      </c>
      <c r="I422">
        <v>0.38590154195981152</v>
      </c>
      <c r="J422">
        <v>-2726.1498566550649</v>
      </c>
      <c r="K422">
        <v>1012.0189222116849</v>
      </c>
      <c r="L422">
        <v>4</v>
      </c>
    </row>
    <row r="423" spans="2:12">
      <c r="B423">
        <v>364.48999999999978</v>
      </c>
      <c r="C423">
        <v>1.4849999999999981</v>
      </c>
      <c r="D423">
        <v>0.29587437682359563</v>
      </c>
      <c r="E423">
        <v>0.76104842651904148</v>
      </c>
      <c r="F423">
        <v>37.787208981589885</v>
      </c>
      <c r="G423">
        <v>62.212791018410115</v>
      </c>
      <c r="H423">
        <v>0.5611844140702873</v>
      </c>
      <c r="I423">
        <v>0.40619543073107134</v>
      </c>
      <c r="J423">
        <v>-2766.0691296262958</v>
      </c>
      <c r="K423">
        <v>931.81998044009674</v>
      </c>
      <c r="L423">
        <v>4</v>
      </c>
    </row>
    <row r="424" spans="2:12">
      <c r="B424">
        <v>366.25999999999976</v>
      </c>
      <c r="C424">
        <v>1.4849999999999981</v>
      </c>
      <c r="D424">
        <v>0.2803613965700768</v>
      </c>
      <c r="E424">
        <v>0.74857624984973259</v>
      </c>
      <c r="F424">
        <v>33.954950785234679</v>
      </c>
      <c r="G424">
        <v>66.045049214765328</v>
      </c>
      <c r="H424">
        <v>0.53090210211947875</v>
      </c>
      <c r="I424">
        <v>0.43019513101597578</v>
      </c>
      <c r="J424">
        <v>-2813.2779518337784</v>
      </c>
      <c r="K424">
        <v>852.44873869319952</v>
      </c>
      <c r="L424">
        <v>4</v>
      </c>
    </row>
    <row r="425" spans="2:12">
      <c r="B425">
        <v>368.02999999999975</v>
      </c>
      <c r="C425">
        <v>1.4849999999999981</v>
      </c>
      <c r="D425">
        <v>0.26474596264094963</v>
      </c>
      <c r="E425">
        <v>0.73377309411111513</v>
      </c>
      <c r="F425">
        <v>29.79944882120985</v>
      </c>
      <c r="G425">
        <v>70.20055117879015</v>
      </c>
      <c r="H425">
        <v>0.49842126057474206</v>
      </c>
      <c r="I425">
        <v>0.46101150952850328</v>
      </c>
      <c r="J425">
        <v>-2873.8955810960679</v>
      </c>
      <c r="K425">
        <v>777.29645029848962</v>
      </c>
      <c r="L425">
        <v>4</v>
      </c>
    </row>
    <row r="426" spans="2:12">
      <c r="B426">
        <v>369.79999999999973</v>
      </c>
      <c r="C426">
        <v>1.4849999999999981</v>
      </c>
      <c r="D426">
        <v>0.2497931799318647</v>
      </c>
      <c r="E426">
        <v>0.71562671087411844</v>
      </c>
      <c r="F426">
        <v>25.194378710646351</v>
      </c>
      <c r="G426">
        <v>74.805621289353653</v>
      </c>
      <c r="H426">
        <v>0.46288361947231371</v>
      </c>
      <c r="I426">
        <v>0.50312670419368155</v>
      </c>
      <c r="J426">
        <v>-2956.7386463668654</v>
      </c>
      <c r="K426">
        <v>711.5921757611369</v>
      </c>
      <c r="L426">
        <v>4</v>
      </c>
    </row>
    <row r="427" spans="2:12">
      <c r="B427">
        <v>371.56999999999971</v>
      </c>
      <c r="C427">
        <v>1.4849999999999981</v>
      </c>
      <c r="D427">
        <v>0.23650353258177881</v>
      </c>
      <c r="E427">
        <v>0.69324703000723509</v>
      </c>
      <c r="F427">
        <v>19.964431632665146</v>
      </c>
      <c r="G427">
        <v>80.035568367334861</v>
      </c>
      <c r="H427">
        <v>0.42309749585164991</v>
      </c>
      <c r="I427">
        <v>0.5621382054479469</v>
      </c>
      <c r="J427">
        <v>-3072.8177405987853</v>
      </c>
      <c r="K427">
        <v>661.36527325868178</v>
      </c>
      <c r="L427">
        <v>4</v>
      </c>
    </row>
    <row r="428" spans="2:12">
      <c r="B428">
        <v>373.33999999999969</v>
      </c>
      <c r="C428">
        <v>1.4849999999999981</v>
      </c>
      <c r="D428">
        <v>0.22575435090913615</v>
      </c>
      <c r="E428">
        <v>0.66618542133007486</v>
      </c>
      <c r="F428">
        <v>13.853983946461856</v>
      </c>
      <c r="G428">
        <v>86.146016053538148</v>
      </c>
      <c r="H428">
        <v>0.37732447252471168</v>
      </c>
      <c r="I428">
        <v>0.64440180934254132</v>
      </c>
      <c r="J428">
        <v>-3234.6350884949757</v>
      </c>
      <c r="K428">
        <v>631.85138364827037</v>
      </c>
      <c r="L428">
        <v>4</v>
      </c>
    </row>
    <row r="429" spans="2:12">
      <c r="B429">
        <v>375.10999999999967</v>
      </c>
      <c r="C429">
        <v>1.4849999999999981</v>
      </c>
      <c r="D429">
        <v>0.21801245196252761</v>
      </c>
      <c r="E429">
        <v>0.63447148431559419</v>
      </c>
      <c r="F429">
        <v>6.4702315254729461</v>
      </c>
      <c r="G429">
        <v>93.52976847452706</v>
      </c>
      <c r="H429">
        <v>0.32289246689117701</v>
      </c>
      <c r="I429">
        <v>0.75764598957456719</v>
      </c>
      <c r="J429">
        <v>-3457.393052433737</v>
      </c>
      <c r="K429">
        <v>627.08356403885705</v>
      </c>
      <c r="L429">
        <v>4</v>
      </c>
    </row>
    <row r="430" spans="2:12">
      <c r="B430">
        <v>376.87999999999965</v>
      </c>
      <c r="C430">
        <v>1.4849999999999981</v>
      </c>
      <c r="D430">
        <v>0.2133487820842237</v>
      </c>
      <c r="E430">
        <v>0.59835194271320435</v>
      </c>
      <c r="F430">
        <v>-2.8253287036716666</v>
      </c>
      <c r="G430">
        <v>102.82532870367167</v>
      </c>
      <c r="H430">
        <v>0.25545749430349218</v>
      </c>
      <c r="I430">
        <v>0.91336407917355111</v>
      </c>
      <c r="J430">
        <v>-3763.6996945625619</v>
      </c>
      <c r="K430">
        <v>651.5120207511593</v>
      </c>
      <c r="L430">
        <v>4</v>
      </c>
    </row>
    <row r="431" spans="2:12">
      <c r="B431">
        <v>341.48</v>
      </c>
      <c r="C431">
        <v>1.499999999999998</v>
      </c>
      <c r="D431">
        <v>0.51524485123459474</v>
      </c>
      <c r="E431">
        <v>0.91133376289931622</v>
      </c>
      <c r="F431">
        <v>100</v>
      </c>
      <c r="G431">
        <v>0</v>
      </c>
      <c r="H431">
        <v>1.0384884574792115</v>
      </c>
      <c r="I431">
        <v>9.762009478673217E-2</v>
      </c>
      <c r="J431">
        <v>-2159.083292333431</v>
      </c>
      <c r="K431">
        <v>2319.9650445965353</v>
      </c>
      <c r="L431">
        <v>5</v>
      </c>
    </row>
    <row r="432" spans="2:12">
      <c r="B432">
        <v>343.25</v>
      </c>
      <c r="C432">
        <v>1.499999999999998</v>
      </c>
      <c r="D432">
        <v>0.4846427179342464</v>
      </c>
      <c r="E432">
        <v>0.8936621974796306</v>
      </c>
      <c r="F432">
        <v>89.427243824531431</v>
      </c>
      <c r="G432">
        <v>10.572756175468569</v>
      </c>
      <c r="H432">
        <v>0.96245342133136813</v>
      </c>
      <c r="I432">
        <v>0.13773867832159861</v>
      </c>
      <c r="J432">
        <v>-2237.998906063192</v>
      </c>
      <c r="K432">
        <v>2081.0542072283106</v>
      </c>
      <c r="L432">
        <v>5</v>
      </c>
    </row>
    <row r="433" spans="2:12">
      <c r="B433">
        <v>345.02</v>
      </c>
      <c r="C433">
        <v>1.499999999999998</v>
      </c>
      <c r="D433">
        <v>0.46072435372336668</v>
      </c>
      <c r="E433">
        <v>0.87806569867057727</v>
      </c>
      <c r="F433">
        <v>81.713971208586088</v>
      </c>
      <c r="G433">
        <v>18.286028791413912</v>
      </c>
      <c r="H433">
        <v>0.90589083312222207</v>
      </c>
      <c r="I433">
        <v>0.17236322784775052</v>
      </c>
      <c r="J433">
        <v>-2306.1074317193402</v>
      </c>
      <c r="K433">
        <v>1912.731114170228</v>
      </c>
      <c r="L433">
        <v>5</v>
      </c>
    </row>
    <row r="434" spans="2:12">
      <c r="B434">
        <v>346.78999999999996</v>
      </c>
      <c r="C434">
        <v>1.499999999999998</v>
      </c>
      <c r="D434">
        <v>0.44090462816099901</v>
      </c>
      <c r="E434">
        <v>0.86423824416540118</v>
      </c>
      <c r="F434">
        <v>75.630504965990738</v>
      </c>
      <c r="G434">
        <v>24.369495034009262</v>
      </c>
      <c r="H434">
        <v>0.86040472666270262</v>
      </c>
      <c r="I434">
        <v>0.20258668953354975</v>
      </c>
      <c r="J434">
        <v>-2365.5587587059945</v>
      </c>
      <c r="K434">
        <v>1782.0505161560914</v>
      </c>
      <c r="L434">
        <v>5</v>
      </c>
    </row>
    <row r="435" spans="2:12">
      <c r="B435">
        <v>348.55999999999995</v>
      </c>
      <c r="C435">
        <v>1.499999999999998</v>
      </c>
      <c r="D435">
        <v>0.42369348581163013</v>
      </c>
      <c r="E435">
        <v>0.85178055523616636</v>
      </c>
      <c r="F435">
        <v>70.553912256238732</v>
      </c>
      <c r="G435">
        <v>29.446087743761268</v>
      </c>
      <c r="H435">
        <v>0.82175001386763147</v>
      </c>
      <c r="I435">
        <v>0.22943800871132805</v>
      </c>
      <c r="J435">
        <v>-2418.3768830180479</v>
      </c>
      <c r="K435">
        <v>1673.2919409847473</v>
      </c>
      <c r="L435">
        <v>5</v>
      </c>
    </row>
    <row r="436" spans="2:12">
      <c r="B436">
        <v>350.32999999999993</v>
      </c>
      <c r="C436">
        <v>1.499999999999998</v>
      </c>
      <c r="D436">
        <v>0.40817823911525708</v>
      </c>
      <c r="E436">
        <v>0.84035450403928058</v>
      </c>
      <c r="F436">
        <v>66.132873808015972</v>
      </c>
      <c r="G436">
        <v>33.867126191984028</v>
      </c>
      <c r="H436">
        <v>0.78753631715317551</v>
      </c>
      <c r="I436">
        <v>0.25370550134213182</v>
      </c>
      <c r="J436">
        <v>-2466.1124685224054</v>
      </c>
      <c r="K436">
        <v>1578.014274222679</v>
      </c>
      <c r="L436">
        <v>5</v>
      </c>
    </row>
    <row r="437" spans="2:12">
      <c r="B437">
        <v>352.09999999999991</v>
      </c>
      <c r="C437">
        <v>1.499999999999998</v>
      </c>
      <c r="D437">
        <v>0.3937580392553468</v>
      </c>
      <c r="E437">
        <v>0.82969284248434538</v>
      </c>
      <c r="F437">
        <v>62.150411207631038</v>
      </c>
      <c r="G437">
        <v>37.849588792368962</v>
      </c>
      <c r="H437">
        <v>0.75628933510765406</v>
      </c>
      <c r="I437">
        <v>0.27597511514229051</v>
      </c>
      <c r="J437">
        <v>-2509.9181088445998</v>
      </c>
      <c r="K437">
        <v>1491.2075295945938</v>
      </c>
      <c r="L437">
        <v>5</v>
      </c>
    </row>
    <row r="438" spans="2:12">
      <c r="B438">
        <v>353.86999999999989</v>
      </c>
      <c r="C438">
        <v>1.499999999999998</v>
      </c>
      <c r="D438">
        <v>0.38000722555041194</v>
      </c>
      <c r="E438">
        <v>0.81958172410976637</v>
      </c>
      <c r="F438">
        <v>58.461547270721063</v>
      </c>
      <c r="G438">
        <v>41.538452729278937</v>
      </c>
      <c r="H438">
        <v>0.72702516901492686</v>
      </c>
      <c r="I438">
        <v>0.29669208818450954</v>
      </c>
      <c r="J438">
        <v>-2550.6696134641179</v>
      </c>
      <c r="K438">
        <v>1409.6348199465122</v>
      </c>
      <c r="L438">
        <v>5</v>
      </c>
    </row>
    <row r="439" spans="2:12">
      <c r="B439">
        <v>355.63999999999987</v>
      </c>
      <c r="C439">
        <v>1.499999999999998</v>
      </c>
      <c r="D439">
        <v>0.36660114917762049</v>
      </c>
      <c r="E439">
        <v>0.80984047953115756</v>
      </c>
      <c r="F439">
        <v>54.961955955501061</v>
      </c>
      <c r="G439">
        <v>45.038044044498939</v>
      </c>
      <c r="H439">
        <v>0.69903652115894643</v>
      </c>
      <c r="I439">
        <v>0.31621634379117081</v>
      </c>
      <c r="J439">
        <v>-2589.0749727280445</v>
      </c>
      <c r="K439">
        <v>1331.0476311724406</v>
      </c>
      <c r="L439">
        <v>5</v>
      </c>
    </row>
    <row r="440" spans="2:12">
      <c r="B440">
        <v>357.40999999999985</v>
      </c>
      <c r="C440">
        <v>1.499999999999998</v>
      </c>
      <c r="D440">
        <v>0.35327448493577296</v>
      </c>
      <c r="E440">
        <v>0.80030225176869818</v>
      </c>
      <c r="F440">
        <v>51.570749368101026</v>
      </c>
      <c r="G440">
        <v>48.429250631898974</v>
      </c>
      <c r="H440">
        <v>0.67177538857655539</v>
      </c>
      <c r="I440">
        <v>0.33487348960864605</v>
      </c>
      <c r="J440">
        <v>-2625.7746760301839</v>
      </c>
      <c r="K440">
        <v>1253.7958002801854</v>
      </c>
      <c r="L440">
        <v>4</v>
      </c>
    </row>
    <row r="441" spans="2:12">
      <c r="B441">
        <v>359.17999999999984</v>
      </c>
      <c r="C441">
        <v>1.499999999999998</v>
      </c>
      <c r="D441">
        <v>0.3397986029875687</v>
      </c>
      <c r="E441">
        <v>0.79079313464910528</v>
      </c>
      <c r="F441">
        <v>48.220026625437633</v>
      </c>
      <c r="G441">
        <v>51.779973374562367</v>
      </c>
      <c r="H441">
        <v>0.64478195240588942</v>
      </c>
      <c r="I441">
        <v>0.35301285087504475</v>
      </c>
      <c r="J441">
        <v>-2661.4558666624412</v>
      </c>
      <c r="K441">
        <v>1176.644427719059</v>
      </c>
      <c r="L441">
        <v>4</v>
      </c>
    </row>
    <row r="442" spans="2:12">
      <c r="B442">
        <v>360.94999999999982</v>
      </c>
      <c r="C442">
        <v>1.499999999999998</v>
      </c>
      <c r="D442">
        <v>0.32597440742576606</v>
      </c>
      <c r="E442">
        <v>0.78110547960408461</v>
      </c>
      <c r="F442">
        <v>44.847780631536459</v>
      </c>
      <c r="G442">
        <v>55.152219368463541</v>
      </c>
      <c r="H442">
        <v>0.61763631794831308</v>
      </c>
      <c r="I442">
        <v>0.37108984800260608</v>
      </c>
      <c r="J442">
        <v>-2697.0143833651264</v>
      </c>
      <c r="K442">
        <v>1098.7341923890751</v>
      </c>
      <c r="L442">
        <v>4</v>
      </c>
    </row>
    <row r="443" spans="2:12">
      <c r="B443">
        <v>362.7199999999998</v>
      </c>
      <c r="C443">
        <v>1.499999999999998</v>
      </c>
      <c r="D443">
        <v>0.31164459447825416</v>
      </c>
      <c r="E443">
        <v>0.77095932899505548</v>
      </c>
      <c r="F443">
        <v>41.392356534864177</v>
      </c>
      <c r="G443">
        <v>58.607643465135823</v>
      </c>
      <c r="H443">
        <v>0.58992082908053112</v>
      </c>
      <c r="I443">
        <v>0.38979953733314293</v>
      </c>
      <c r="J443">
        <v>-2733.817442848253</v>
      </c>
      <c r="K443">
        <v>1019.6865084048733</v>
      </c>
      <c r="L443">
        <v>4</v>
      </c>
    </row>
    <row r="444" spans="2:12">
      <c r="B444">
        <v>364.48999999999978</v>
      </c>
      <c r="C444">
        <v>1.499999999999998</v>
      </c>
      <c r="D444">
        <v>0.29673648593278235</v>
      </c>
      <c r="E444">
        <v>0.75994590826122121</v>
      </c>
      <c r="F444">
        <v>37.787208981589885</v>
      </c>
      <c r="G444">
        <v>62.212791018410115</v>
      </c>
      <c r="H444">
        <v>0.5611844140702873</v>
      </c>
      <c r="I444">
        <v>0.41029841487987001</v>
      </c>
      <c r="J444">
        <v>-2774.1399407989916</v>
      </c>
      <c r="K444">
        <v>939.89079161279244</v>
      </c>
      <c r="L444">
        <v>4</v>
      </c>
    </row>
    <row r="445" spans="2:12">
      <c r="B445">
        <v>366.25999999999976</v>
      </c>
      <c r="C445">
        <v>1.499999999999998</v>
      </c>
      <c r="D445">
        <v>0.28134997810499329</v>
      </c>
      <c r="E445">
        <v>0.74745742152546379</v>
      </c>
      <c r="F445">
        <v>33.954950785234679</v>
      </c>
      <c r="G445">
        <v>66.045049214765328</v>
      </c>
      <c r="H445">
        <v>0.53090210211947875</v>
      </c>
      <c r="I445">
        <v>0.43454053637977347</v>
      </c>
      <c r="J445">
        <v>-2821.8256197964488</v>
      </c>
      <c r="K445">
        <v>860.99640665586992</v>
      </c>
      <c r="L445">
        <v>4</v>
      </c>
    </row>
    <row r="446" spans="2:12">
      <c r="B446">
        <v>368.02999999999975</v>
      </c>
      <c r="C446">
        <v>1.499999999999998</v>
      </c>
      <c r="D446">
        <v>0.26588227132970632</v>
      </c>
      <c r="E446">
        <v>0.73264393857772647</v>
      </c>
      <c r="F446">
        <v>29.79944882120985</v>
      </c>
      <c r="G446">
        <v>70.20055117879015</v>
      </c>
      <c r="H446">
        <v>0.49842126057474206</v>
      </c>
      <c r="I446">
        <v>0.46566819144293259</v>
      </c>
      <c r="J446">
        <v>-2883.0555483442158</v>
      </c>
      <c r="K446">
        <v>786.45641754663768</v>
      </c>
      <c r="L446">
        <v>4</v>
      </c>
    </row>
    <row r="447" spans="2:12">
      <c r="B447">
        <v>369.79999999999973</v>
      </c>
      <c r="C447">
        <v>1.499999999999998</v>
      </c>
      <c r="D447">
        <v>0.25110260532010242</v>
      </c>
      <c r="E447">
        <v>0.71449825606411821</v>
      </c>
      <c r="F447">
        <v>25.194378710646351</v>
      </c>
      <c r="G447">
        <v>74.805621289353653</v>
      </c>
      <c r="H447">
        <v>0.46288361947231371</v>
      </c>
      <c r="I447">
        <v>0.50820879211482983</v>
      </c>
      <c r="J447">
        <v>-2966.7354122541124</v>
      </c>
      <c r="K447">
        <v>721.58894164838387</v>
      </c>
      <c r="L447">
        <v>4</v>
      </c>
    </row>
    <row r="448" spans="2:12">
      <c r="B448">
        <v>371.56999999999971</v>
      </c>
      <c r="C448">
        <v>1.499999999999998</v>
      </c>
      <c r="D448">
        <v>0.23801342776738932</v>
      </c>
      <c r="E448">
        <v>0.69213968020820216</v>
      </c>
      <c r="F448">
        <v>19.964431632665146</v>
      </c>
      <c r="G448">
        <v>80.035568367334861</v>
      </c>
      <c r="H448">
        <v>0.42309749585164991</v>
      </c>
      <c r="I448">
        <v>0.5678163691393403</v>
      </c>
      <c r="J448">
        <v>-3083.9870225893851</v>
      </c>
      <c r="K448">
        <v>672.53455524928142</v>
      </c>
      <c r="L448">
        <v>4</v>
      </c>
    </row>
    <row r="449" spans="2:12">
      <c r="B449">
        <v>373.33999999999969</v>
      </c>
      <c r="C449">
        <v>1.499999999999998</v>
      </c>
      <c r="D449">
        <v>0.22749042699546174</v>
      </c>
      <c r="E449">
        <v>0.66513340633248597</v>
      </c>
      <c r="F449">
        <v>13.853983946461856</v>
      </c>
      <c r="G449">
        <v>86.146016053538148</v>
      </c>
      <c r="H449">
        <v>0.37732447252471168</v>
      </c>
      <c r="I449">
        <v>0.65091091852781946</v>
      </c>
      <c r="J449">
        <v>-3247.4388891511935</v>
      </c>
      <c r="K449">
        <v>644.65518430448822</v>
      </c>
      <c r="L449">
        <v>4</v>
      </c>
    </row>
    <row r="450" spans="2:12">
      <c r="B450">
        <v>375.10999999999967</v>
      </c>
      <c r="C450">
        <v>1.499999999999998</v>
      </c>
      <c r="D450">
        <v>0.21999560284511765</v>
      </c>
      <c r="E450">
        <v>0.63352577857553705</v>
      </c>
      <c r="F450">
        <v>6.4702315254729461</v>
      </c>
      <c r="G450">
        <v>93.52976847452706</v>
      </c>
      <c r="H450">
        <v>0.32289246689117701</v>
      </c>
      <c r="I450">
        <v>0.76529897936824964</v>
      </c>
      <c r="J450">
        <v>-3472.4469335337808</v>
      </c>
      <c r="K450">
        <v>642.1374451389006</v>
      </c>
      <c r="L450">
        <v>4</v>
      </c>
    </row>
    <row r="451" spans="2:12">
      <c r="B451">
        <v>376.87999999999965</v>
      </c>
      <c r="C451">
        <v>1.499999999999998</v>
      </c>
      <c r="D451">
        <v>0.21559369620787394</v>
      </c>
      <c r="E451">
        <v>0.5975816977203845</v>
      </c>
      <c r="F451">
        <v>-2.8253287036716666</v>
      </c>
      <c r="G451">
        <v>102.82532870367167</v>
      </c>
      <c r="H451">
        <v>0.25545749430349218</v>
      </c>
      <c r="I451">
        <v>0.92258997896318284</v>
      </c>
      <c r="J451">
        <v>-3781.847582148755</v>
      </c>
      <c r="K451">
        <v>669.65990833735259</v>
      </c>
      <c r="L451">
        <v>4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optimizeAll">
                <anchor moveWithCells="1">
                  <from>
                    <xdr:col>2</xdr:col>
                    <xdr:colOff>29633</xdr:colOff>
                    <xdr:row>3</xdr:row>
                    <xdr:rowOff>59267</xdr:rowOff>
                  </from>
                  <to>
                    <xdr:col>3</xdr:col>
                    <xdr:colOff>867833</xdr:colOff>
                    <xdr:row>6</xdr:row>
                    <xdr:rowOff>122767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optimizeOnlyReflux">
                <anchor moveWithCells="1">
                  <from>
                    <xdr:col>7</xdr:col>
                    <xdr:colOff>84667</xdr:colOff>
                    <xdr:row>3</xdr:row>
                    <xdr:rowOff>38100</xdr:rowOff>
                  </from>
                  <to>
                    <xdr:col>8</xdr:col>
                    <xdr:colOff>571500</xdr:colOff>
                    <xdr:row>6</xdr:row>
                    <xdr:rowOff>143933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optimizeOnlyTemp">
                <anchor moveWithCells="1" sizeWithCells="1">
                  <from>
                    <xdr:col>12</xdr:col>
                    <xdr:colOff>122767</xdr:colOff>
                    <xdr:row>3</xdr:row>
                    <xdr:rowOff>59267</xdr:rowOff>
                  </from>
                  <to>
                    <xdr:col>13</xdr:col>
                    <xdr:colOff>1722967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8"/>
  <sheetViews>
    <sheetView zoomScale="40" zoomScaleNormal="40" workbookViewId="0">
      <selection activeCell="D6" sqref="D6"/>
    </sheetView>
  </sheetViews>
  <sheetFormatPr defaultRowHeight="14.35"/>
  <cols>
    <col min="5" max="5" width="21" customWidth="1"/>
    <col min="20" max="20" width="26.87890625" customWidth="1"/>
    <col min="21" max="21" width="29.703125" customWidth="1"/>
    <col min="22" max="22" width="26.41015625" customWidth="1"/>
    <col min="23" max="23" width="38.29296875" customWidth="1"/>
    <col min="24" max="24" width="27.5859375" customWidth="1"/>
  </cols>
  <sheetData>
    <row r="1" spans="1:30" ht="14.7" thickBot="1">
      <c r="A1" t="s">
        <v>1</v>
      </c>
    </row>
    <row r="2" spans="1:30">
      <c r="H2" s="117" t="s">
        <v>115</v>
      </c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9"/>
    </row>
    <row r="3" spans="1:30">
      <c r="H3" s="120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2"/>
    </row>
    <row r="4" spans="1:30">
      <c r="H4" s="120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2"/>
    </row>
    <row r="5" spans="1:30" ht="14.7" thickBot="1">
      <c r="H5" s="123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5"/>
    </row>
    <row r="7" spans="1:30">
      <c r="D7" s="129" t="s">
        <v>122</v>
      </c>
      <c r="E7" s="130"/>
      <c r="F7" s="130"/>
      <c r="G7" s="130"/>
      <c r="H7" s="130"/>
      <c r="I7" s="130"/>
      <c r="J7" s="130"/>
      <c r="K7" s="130"/>
      <c r="L7" s="130"/>
      <c r="N7" s="131" t="s">
        <v>123</v>
      </c>
      <c r="O7" s="132"/>
      <c r="P7" s="132"/>
      <c r="Q7" s="132"/>
      <c r="R7" s="132"/>
      <c r="S7" s="132"/>
      <c r="T7" s="132"/>
      <c r="U7" s="132"/>
    </row>
    <row r="8" spans="1:30">
      <c r="D8" s="130"/>
      <c r="E8" s="130"/>
      <c r="F8" s="130"/>
      <c r="G8" s="130"/>
      <c r="H8" s="130"/>
      <c r="I8" s="130"/>
      <c r="J8" s="130"/>
      <c r="K8" s="130"/>
      <c r="L8" s="130"/>
      <c r="N8" s="132"/>
      <c r="O8" s="132"/>
      <c r="P8" s="132"/>
      <c r="Q8" s="132"/>
      <c r="R8" s="132"/>
      <c r="S8" s="132"/>
      <c r="T8" s="132"/>
      <c r="U8" s="132"/>
    </row>
    <row r="9" spans="1:30">
      <c r="D9" s="130"/>
      <c r="E9" s="130"/>
      <c r="F9" s="130"/>
      <c r="G9" s="130"/>
      <c r="H9" s="130"/>
      <c r="I9" s="130"/>
      <c r="J9" s="130"/>
      <c r="K9" s="130"/>
      <c r="L9" s="130"/>
      <c r="N9" s="132"/>
      <c r="O9" s="132"/>
      <c r="P9" s="132"/>
      <c r="Q9" s="132"/>
      <c r="R9" s="132"/>
      <c r="S9" s="132"/>
      <c r="T9" s="132"/>
      <c r="U9" s="132"/>
    </row>
    <row r="10" spans="1:30" ht="19.350000000000001"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</row>
    <row r="11" spans="1:30" ht="19.7" thickBot="1">
      <c r="T11" s="32"/>
      <c r="U11" s="36"/>
      <c r="V11" s="36"/>
      <c r="W11" s="36"/>
      <c r="X11" s="36"/>
      <c r="Y11" s="36"/>
      <c r="Z11" s="36"/>
      <c r="AA11" s="36"/>
    </row>
    <row r="12" spans="1:30" ht="19.350000000000001">
      <c r="T12" s="75" t="s">
        <v>116</v>
      </c>
      <c r="U12" s="76" t="s">
        <v>119</v>
      </c>
      <c r="V12" s="77" t="s">
        <v>120</v>
      </c>
      <c r="W12" s="50"/>
      <c r="X12" s="50"/>
      <c r="Y12" s="50"/>
      <c r="Z12" s="50"/>
      <c r="AA12" s="50"/>
    </row>
    <row r="13" spans="1:30" ht="19.7" thickBot="1">
      <c r="T13" s="78" t="s">
        <v>118</v>
      </c>
      <c r="U13" s="79" t="s">
        <v>117</v>
      </c>
      <c r="V13" s="80" t="s">
        <v>121</v>
      </c>
      <c r="W13" s="51"/>
      <c r="X13" s="51"/>
      <c r="Y13" s="51"/>
      <c r="Z13" s="51"/>
      <c r="AA13" s="51"/>
    </row>
    <row r="14" spans="1:30" ht="19.350000000000001">
      <c r="U14" s="36"/>
      <c r="V14" s="36"/>
      <c r="W14" s="51"/>
      <c r="X14" s="51"/>
      <c r="Y14" s="51"/>
      <c r="Z14" s="51"/>
      <c r="AA14" s="51"/>
    </row>
    <row r="15" spans="1:30" ht="19.350000000000001">
      <c r="T15" s="36"/>
      <c r="U15" s="36"/>
      <c r="V15" s="36"/>
      <c r="W15" s="51"/>
      <c r="X15" s="51"/>
      <c r="Y15" s="51"/>
      <c r="Z15" s="51"/>
      <c r="AA15" s="51"/>
    </row>
    <row r="16" spans="1:30" ht="19.7" thickBot="1">
      <c r="T16" s="36"/>
      <c r="U16" s="36"/>
      <c r="V16" s="36"/>
      <c r="W16" s="51"/>
      <c r="X16" s="51"/>
      <c r="Y16" s="51"/>
      <c r="Z16" s="51"/>
      <c r="AA16" s="51"/>
    </row>
    <row r="17" spans="20:30" ht="19.350000000000001">
      <c r="T17" s="126" t="s">
        <v>42</v>
      </c>
      <c r="U17" s="127"/>
      <c r="V17" s="128"/>
      <c r="W17" s="51"/>
      <c r="X17" s="51"/>
      <c r="Y17" s="51"/>
      <c r="Z17" s="51"/>
      <c r="AA17" s="51"/>
      <c r="AB17" s="36"/>
      <c r="AC17" s="36"/>
      <c r="AD17" s="36"/>
    </row>
    <row r="18" spans="20:30" ht="19.350000000000001">
      <c r="T18" s="67" t="s">
        <v>5</v>
      </c>
      <c r="U18" s="52" t="s">
        <v>43</v>
      </c>
      <c r="V18" s="68" t="s">
        <v>44</v>
      </c>
      <c r="W18" s="51"/>
      <c r="X18" s="51"/>
      <c r="Y18" s="51"/>
      <c r="Z18" s="51"/>
      <c r="AA18" s="51"/>
      <c r="AB18" s="36"/>
      <c r="AC18" s="36"/>
      <c r="AD18" s="36"/>
    </row>
    <row r="19" spans="20:30" ht="19.350000000000001">
      <c r="T19" s="69">
        <v>0.62969738711326584</v>
      </c>
      <c r="U19" s="70">
        <v>0.95</v>
      </c>
      <c r="V19" s="71">
        <v>68.846019620649514</v>
      </c>
      <c r="W19" s="51"/>
      <c r="X19" s="51"/>
      <c r="Y19" s="51"/>
      <c r="Z19" s="51"/>
      <c r="AA19" s="51"/>
      <c r="AB19" s="36"/>
      <c r="AC19" s="36"/>
      <c r="AD19" s="36"/>
    </row>
    <row r="20" spans="20:30" ht="19.350000000000001">
      <c r="T20" s="69">
        <v>0.32501867471897028</v>
      </c>
      <c r="U20" s="70">
        <v>0.83289478883389767</v>
      </c>
      <c r="V20" s="71">
        <v>86.710988899627296</v>
      </c>
      <c r="W20" s="51"/>
      <c r="X20" s="51"/>
      <c r="Y20" s="51"/>
      <c r="Z20" s="51"/>
      <c r="AA20" s="51"/>
      <c r="AB20" s="36"/>
      <c r="AC20" s="41"/>
      <c r="AD20" s="36"/>
    </row>
    <row r="21" spans="20:30" ht="19.350000000000001">
      <c r="T21" s="69">
        <v>0.1632169699231307</v>
      </c>
      <c r="U21" s="70">
        <v>0.72150180133626796</v>
      </c>
      <c r="V21" s="71">
        <v>107.41278702070015</v>
      </c>
      <c r="W21" s="51"/>
      <c r="X21" s="51"/>
      <c r="Y21" s="51"/>
      <c r="Z21" s="51"/>
      <c r="AA21" s="51"/>
      <c r="AB21" s="36"/>
      <c r="AC21" s="36"/>
      <c r="AD21" s="36"/>
    </row>
    <row r="22" spans="20:30" ht="19.7" thickBot="1">
      <c r="T22" s="72">
        <v>8.4271727723048223E-2</v>
      </c>
      <c r="U22" s="73">
        <v>0.53780468707446394</v>
      </c>
      <c r="V22" s="74">
        <v>122.91285725395657</v>
      </c>
      <c r="W22" s="36"/>
      <c r="X22" s="36"/>
      <c r="Y22" s="36"/>
      <c r="Z22" s="36"/>
      <c r="AA22" s="36"/>
      <c r="AB22" s="36"/>
      <c r="AC22" s="36"/>
      <c r="AD22" s="36"/>
    </row>
    <row r="23" spans="20:30" ht="19.350000000000001"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20:30" ht="19.7" thickBot="1"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</row>
    <row r="25" spans="20:30" ht="19.350000000000001">
      <c r="T25" s="61" t="s">
        <v>26</v>
      </c>
      <c r="U25" s="62" t="s">
        <v>28</v>
      </c>
      <c r="V25" s="63" t="s">
        <v>29</v>
      </c>
      <c r="W25" s="36"/>
      <c r="X25" s="36"/>
      <c r="Y25" s="36"/>
      <c r="Z25" s="36"/>
      <c r="AA25" s="36"/>
      <c r="AB25" s="36"/>
      <c r="AC25" s="36"/>
      <c r="AD25" s="36"/>
    </row>
    <row r="26" spans="20:30" ht="19.7" thickBot="1">
      <c r="T26" s="64">
        <v>4</v>
      </c>
      <c r="U26" s="65">
        <v>-3100.6994948912416</v>
      </c>
      <c r="V26" s="66">
        <v>356.46379014292813</v>
      </c>
      <c r="W26" s="36"/>
      <c r="X26" s="36"/>
      <c r="Y26" s="36"/>
      <c r="Z26" s="36"/>
      <c r="AA26" s="36"/>
      <c r="AB26" s="36"/>
      <c r="AC26" s="36"/>
      <c r="AD26" s="36"/>
    </row>
    <row r="27" spans="20:30" ht="19.350000000000001"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20:30" ht="19.350000000000001"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20:30" ht="19.7" thickBot="1"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20:30" ht="19.350000000000001">
      <c r="T30" s="55" t="s">
        <v>22</v>
      </c>
      <c r="U30" s="56" t="s">
        <v>23</v>
      </c>
      <c r="V30" s="57" t="s">
        <v>27</v>
      </c>
      <c r="W30" s="53"/>
      <c r="X30" s="53"/>
      <c r="Z30" s="36"/>
      <c r="AA30" s="36"/>
      <c r="AB30" s="36"/>
      <c r="AC30" s="36"/>
      <c r="AD30" s="36"/>
    </row>
    <row r="31" spans="20:30" ht="19.7" thickBot="1">
      <c r="T31" s="58">
        <v>0.17880724747535875</v>
      </c>
      <c r="U31" s="59">
        <v>0.66804572769407422</v>
      </c>
      <c r="V31" s="60">
        <v>0.57631254225930328</v>
      </c>
      <c r="W31" s="54"/>
      <c r="X31" s="54"/>
      <c r="Z31" s="36"/>
      <c r="AA31" s="36"/>
      <c r="AB31" s="36"/>
      <c r="AC31" s="36"/>
      <c r="AD31" s="36"/>
    </row>
    <row r="32" spans="20:30" ht="19.7" thickBot="1"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20:30" ht="19.350000000000001">
      <c r="T33" s="55" t="s">
        <v>24</v>
      </c>
      <c r="U33" s="56" t="s">
        <v>25</v>
      </c>
      <c r="V33" s="57" t="s">
        <v>35</v>
      </c>
      <c r="W33" s="36"/>
      <c r="X33" s="36"/>
      <c r="Y33" s="36"/>
      <c r="Z33" s="36"/>
      <c r="AA33" s="36"/>
      <c r="AB33" s="36"/>
      <c r="AC33" s="36"/>
      <c r="AD33" s="36"/>
    </row>
    <row r="34" spans="20:30" ht="19.7" thickBot="1">
      <c r="T34" s="58">
        <v>9.2773973333039574</v>
      </c>
      <c r="U34" s="59">
        <v>90.722602666696048</v>
      </c>
      <c r="V34" s="60">
        <v>0.34348428116069057</v>
      </c>
      <c r="W34" s="36"/>
      <c r="X34" s="36"/>
      <c r="Y34" s="36"/>
      <c r="Z34" s="36"/>
      <c r="AA34" s="36"/>
      <c r="AB34" s="36"/>
      <c r="AC34" s="36"/>
      <c r="AD34" s="36"/>
    </row>
    <row r="35" spans="20:30" ht="19.350000000000001"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20:30" ht="19.350000000000001"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20:30" ht="19.350000000000001"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20:30" ht="19.350000000000001"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20:30" ht="19.350000000000001"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20:30" ht="19.350000000000001"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20:30" ht="19.350000000000001"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20:30" ht="19.350000000000001"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20:30" ht="19.350000000000001"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20:30" ht="19.350000000000001"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20:30" ht="19.350000000000001"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20:30" ht="19.350000000000001"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20:30" ht="19.350000000000001"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20:30" ht="19.350000000000001"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20:30" ht="19.350000000000001"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20:30" ht="19.350000000000001"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20:30" ht="19.350000000000001"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20:30" ht="19.350000000000001"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20:30" ht="19.350000000000001"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20:30" ht="19.350000000000001"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20:30" ht="19.350000000000001"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20:30" ht="19.350000000000001"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20:30" ht="19.350000000000001"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20:30" ht="19.350000000000001"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20:30" ht="19.350000000000001"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20:30" ht="19.350000000000001"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20:30" ht="19.350000000000001"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20:30" ht="19.350000000000001"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20:30" ht="19.350000000000001"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20:30" ht="19.350000000000001"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20:30" ht="19.350000000000001"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20:30" ht="19.350000000000001"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20:30" ht="19.350000000000001"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20:30" ht="19.350000000000001"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</sheetData>
  <mergeCells count="4">
    <mergeCell ref="H2:V5"/>
    <mergeCell ref="T17:V17"/>
    <mergeCell ref="D7:L9"/>
    <mergeCell ref="N7:U9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155"/>
  <sheetViews>
    <sheetView topLeftCell="E43" zoomScale="120" zoomScaleNormal="120" workbookViewId="0">
      <selection activeCell="L3" sqref="L3"/>
    </sheetView>
  </sheetViews>
  <sheetFormatPr defaultRowHeight="14.35"/>
  <cols>
    <col min="28" max="28" width="43" customWidth="1"/>
    <col min="29" max="29" width="33.29296875" customWidth="1"/>
    <col min="30" max="30" width="16.703125" customWidth="1"/>
    <col min="31" max="31" width="16.29296875" customWidth="1"/>
    <col min="32" max="32" width="17.29296875" customWidth="1"/>
  </cols>
  <sheetData>
    <row r="1" spans="1:26" ht="45.7">
      <c r="A1" s="43" t="s">
        <v>49</v>
      </c>
      <c r="B1" t="s">
        <v>50</v>
      </c>
      <c r="D1" t="s">
        <v>51</v>
      </c>
      <c r="P1" s="108" t="s">
        <v>52</v>
      </c>
      <c r="Q1" s="109" t="s">
        <v>170</v>
      </c>
      <c r="R1" s="109" t="s">
        <v>171</v>
      </c>
      <c r="S1" s="109" t="s">
        <v>53</v>
      </c>
      <c r="T1" s="109" t="s">
        <v>54</v>
      </c>
      <c r="U1" s="109" t="s">
        <v>55</v>
      </c>
      <c r="V1" s="109" t="s">
        <v>56</v>
      </c>
      <c r="W1" s="109" t="s">
        <v>57</v>
      </c>
      <c r="X1" s="109" t="s">
        <v>58</v>
      </c>
      <c r="Y1" s="109" t="s">
        <v>59</v>
      </c>
      <c r="Z1" s="109" t="s">
        <v>60</v>
      </c>
    </row>
    <row r="2" spans="1:26" ht="15.7">
      <c r="B2" t="s">
        <v>61</v>
      </c>
      <c r="C2">
        <v>0.5</v>
      </c>
      <c r="D2" t="s">
        <v>53</v>
      </c>
      <c r="E2">
        <v>0.5</v>
      </c>
      <c r="F2" s="43" t="s">
        <v>62</v>
      </c>
      <c r="G2">
        <f>(C2*C7*(C9-C8))+(E2*E7*(C9-C8))</f>
        <v>17684.231972325011</v>
      </c>
      <c r="P2" s="110">
        <v>390.85</v>
      </c>
      <c r="Q2" s="110">
        <v>0</v>
      </c>
      <c r="R2" s="110">
        <v>0</v>
      </c>
      <c r="S2" s="110">
        <f>1-Q2</f>
        <v>1</v>
      </c>
      <c r="T2" s="110">
        <f>1-R2</f>
        <v>1</v>
      </c>
      <c r="U2" s="110">
        <f>cpFunction(P2,$C$13,$C$14,$C$15,$C$16,$C$17)</f>
        <v>604.01052666451449</v>
      </c>
      <c r="V2" s="110">
        <f>cpFunction(P2,$E$13,$E$14,$E$15,$E$16,$E$17)</f>
        <v>258.86094348081173</v>
      </c>
      <c r="W2" s="110">
        <f>cpFunction(P2,$B$13,$B$14,$B$15,$B$16,$B$17)</f>
        <v>89.472055615091008</v>
      </c>
      <c r="X2" s="110">
        <f>cpFunction(P2,$D$13,$D$14,$D$15,$D$16,$D$17)</f>
        <v>133.82603903087545</v>
      </c>
      <c r="Y2" s="111">
        <f>(Q2*$C$7*(P2-$C$8))+(S2*$E$7*(P2-$C$8))</f>
        <v>15380.588430838203</v>
      </c>
      <c r="Z2" s="111">
        <f>R2*($C$5+$C$6*(P2-$C$8))+T2*($E$5+$E$6*(P2-$C$8))</f>
        <v>67680.588430838208</v>
      </c>
    </row>
    <row r="3" spans="1:26" ht="15.7">
      <c r="B3" t="s">
        <v>63</v>
      </c>
      <c r="C3">
        <v>0.1</v>
      </c>
      <c r="D3" t="s">
        <v>54</v>
      </c>
      <c r="E3">
        <v>0.9</v>
      </c>
      <c r="F3" s="43" t="s">
        <v>64</v>
      </c>
      <c r="G3">
        <f>C3*(C5+C6*(C9-C8))+E3*(E5+E6*(C9-C8))</f>
        <v>62525.960177881927</v>
      </c>
      <c r="I3" s="43"/>
      <c r="J3" t="s">
        <v>65</v>
      </c>
      <c r="P3" s="110">
        <v>388.15</v>
      </c>
      <c r="Q3" s="110">
        <v>0.01</v>
      </c>
      <c r="R3" s="110">
        <v>0.105</v>
      </c>
      <c r="S3" s="110">
        <f t="shared" ref="S3:T18" si="0">1-Q3</f>
        <v>0.99</v>
      </c>
      <c r="T3" s="110">
        <f t="shared" si="0"/>
        <v>0.89500000000000002</v>
      </c>
      <c r="U3" s="110">
        <f t="shared" ref="U3:U18" si="1">cpFunction(P3,$C$13,$C$14,$C$15,$C$16,$C$17)</f>
        <v>591.46009093210921</v>
      </c>
      <c r="V3" s="110">
        <f t="shared" ref="V3:V18" si="2">cpFunction(P3,$E$13,$E$14,$E$15,$E$16,$E$17)</f>
        <v>257.60062071043797</v>
      </c>
      <c r="W3" s="110">
        <f t="shared" ref="W3:W18" si="3">cpFunction(P3,$B$13,$B$14,$B$15,$B$16,$B$17)</f>
        <v>89.052198096708921</v>
      </c>
      <c r="X3" s="110">
        <f t="shared" ref="X3:X18" si="4">cpFunction(P3,$D$13,$D$14,$D$15,$D$16,$D$17)</f>
        <v>133.14846965673837</v>
      </c>
      <c r="Y3" s="111">
        <f t="shared" ref="Y3:Y18" si="5">(Q3*$C$7*(P3-$C$8))+(S3*$E$7*(P3-$C$8))</f>
        <v>14873.725253699929</v>
      </c>
      <c r="Z3" s="111">
        <f t="shared" ref="Z3:Z18" si="6">R3*($C$5+$C$6*(P3-$C$8))+T3*($E$5+$E$6*(P3-$C$8))</f>
        <v>64085.751815506723</v>
      </c>
    </row>
    <row r="4" spans="1:26" ht="15.7">
      <c r="A4" s="43" t="s">
        <v>66</v>
      </c>
      <c r="B4" t="s">
        <v>67</v>
      </c>
      <c r="C4">
        <v>31300</v>
      </c>
      <c r="D4" t="s">
        <v>68</v>
      </c>
      <c r="E4">
        <v>52300</v>
      </c>
      <c r="F4" s="43" t="s">
        <v>69</v>
      </c>
      <c r="G4" s="43">
        <v>6252.5</v>
      </c>
      <c r="H4" s="43"/>
      <c r="J4" s="43"/>
      <c r="K4" s="43"/>
      <c r="L4" s="43"/>
      <c r="M4" s="43"/>
      <c r="P4" s="110">
        <v>385.15</v>
      </c>
      <c r="Q4" s="110">
        <v>2.5000000000000001E-2</v>
      </c>
      <c r="R4" s="110">
        <v>0.22500000000000001</v>
      </c>
      <c r="S4" s="110">
        <f t="shared" si="0"/>
        <v>0.97499999999999998</v>
      </c>
      <c r="T4" s="110">
        <f t="shared" si="0"/>
        <v>0.77500000000000002</v>
      </c>
      <c r="U4" s="110">
        <f t="shared" si="1"/>
        <v>577.74932444714875</v>
      </c>
      <c r="V4" s="110">
        <f t="shared" si="2"/>
        <v>256.03937800918823</v>
      </c>
      <c r="W4" s="110">
        <f t="shared" si="3"/>
        <v>88.585563974375219</v>
      </c>
      <c r="X4" s="110">
        <f t="shared" si="4"/>
        <v>132.39285555168306</v>
      </c>
      <c r="Y4" s="111">
        <f t="shared" si="5"/>
        <v>14354.048424093044</v>
      </c>
      <c r="Z4" s="111">
        <f t="shared" si="6"/>
        <v>60017.343406703032</v>
      </c>
    </row>
    <row r="5" spans="1:26" ht="15.7">
      <c r="B5" t="s">
        <v>70</v>
      </c>
      <c r="C5">
        <v>31300</v>
      </c>
      <c r="D5" t="s">
        <v>71</v>
      </c>
      <c r="E5">
        <f>E7*(E8-C8)+E4-(E6*(E8-C8))</f>
        <v>59679.225615322845</v>
      </c>
      <c r="F5" s="43" t="s">
        <v>72</v>
      </c>
      <c r="G5">
        <v>64623.3</v>
      </c>
      <c r="I5" s="43"/>
      <c r="P5" s="110">
        <v>380.25</v>
      </c>
      <c r="Q5" s="110">
        <v>0.05</v>
      </c>
      <c r="R5" s="110">
        <v>0.40500000000000003</v>
      </c>
      <c r="S5" s="110">
        <f t="shared" si="0"/>
        <v>0.95</v>
      </c>
      <c r="T5" s="110">
        <f t="shared" si="0"/>
        <v>0.59499999999999997</v>
      </c>
      <c r="U5" s="110">
        <f t="shared" si="1"/>
        <v>555.88200871850836</v>
      </c>
      <c r="V5" s="110">
        <f t="shared" si="2"/>
        <v>253.15366578906264</v>
      </c>
      <c r="W5" s="110">
        <f t="shared" si="3"/>
        <v>87.823158780306244</v>
      </c>
      <c r="X5" s="110">
        <f t="shared" si="4"/>
        <v>131.15241882227258</v>
      </c>
      <c r="Y5" s="111">
        <f t="shared" si="5"/>
        <v>13457.920078737532</v>
      </c>
      <c r="Z5" s="111">
        <f t="shared" si="6"/>
        <v>53927.506108150832</v>
      </c>
    </row>
    <row r="6" spans="1:26" ht="15.7">
      <c r="B6" t="s">
        <v>73</v>
      </c>
      <c r="C6">
        <f>cpFunction(C9,B13,B14,B15,B16,B17)</f>
        <v>86.925112731226321</v>
      </c>
      <c r="D6" t="s">
        <v>74</v>
      </c>
      <c r="E6">
        <f>cpFunction(C9,D13,D14,D15,D16,D17)</f>
        <v>129.68173120770436</v>
      </c>
      <c r="I6" s="43"/>
      <c r="P6" s="110">
        <v>376.95</v>
      </c>
      <c r="Q6" s="110">
        <v>7.0000000000000007E-2</v>
      </c>
      <c r="R6" s="110">
        <v>0.47199999999999998</v>
      </c>
      <c r="S6" s="110">
        <f t="shared" si="0"/>
        <v>0.92999999999999994</v>
      </c>
      <c r="T6" s="110">
        <f t="shared" si="0"/>
        <v>0.52800000000000002</v>
      </c>
      <c r="U6" s="110">
        <f t="shared" si="1"/>
        <v>541.52111112049602</v>
      </c>
      <c r="V6" s="110">
        <f t="shared" si="2"/>
        <v>250.9966335724377</v>
      </c>
      <c r="W6" s="110">
        <f t="shared" si="3"/>
        <v>87.309573305543466</v>
      </c>
      <c r="X6" s="110">
        <f t="shared" si="4"/>
        <v>130.31262633804766</v>
      </c>
      <c r="Y6" s="111">
        <f t="shared" si="5"/>
        <v>12858.107198909473</v>
      </c>
      <c r="Z6" s="111">
        <f t="shared" si="6"/>
        <v>51518.360153199828</v>
      </c>
    </row>
    <row r="7" spans="1:26" ht="15.7">
      <c r="A7" s="43" t="s">
        <v>75</v>
      </c>
      <c r="B7" t="s">
        <v>76</v>
      </c>
      <c r="C7">
        <f>cpFunction(C9,C13,C14,C15,C16,C17)</f>
        <v>530.9638740770489</v>
      </c>
      <c r="D7" t="s">
        <v>77</v>
      </c>
      <c r="E7">
        <f>cpFunction(C9,E13,E14,E15,E16,E17)</f>
        <v>249.28020147225595</v>
      </c>
      <c r="F7" s="43" t="s">
        <v>78</v>
      </c>
      <c r="I7" s="43"/>
      <c r="P7" s="110">
        <v>364.85</v>
      </c>
      <c r="Q7" s="110">
        <v>0.154</v>
      </c>
      <c r="R7" s="110">
        <v>0.69799999999999995</v>
      </c>
      <c r="S7" s="110">
        <f t="shared" si="0"/>
        <v>0.84599999999999997</v>
      </c>
      <c r="T7" s="110">
        <f t="shared" si="0"/>
        <v>0.30200000000000005</v>
      </c>
      <c r="U7" s="110">
        <f t="shared" si="1"/>
        <v>491.35772485141382</v>
      </c>
      <c r="V7" s="110">
        <f t="shared" si="2"/>
        <v>241.87957105331293</v>
      </c>
      <c r="W7" s="110">
        <f t="shared" si="3"/>
        <v>85.425995571813317</v>
      </c>
      <c r="X7" s="110">
        <f t="shared" si="4"/>
        <v>127.20292071556595</v>
      </c>
      <c r="Y7" s="111">
        <f t="shared" si="5"/>
        <v>10447.943687806181</v>
      </c>
      <c r="Z7" s="111">
        <f t="shared" si="6"/>
        <v>43434.728866774589</v>
      </c>
    </row>
    <row r="8" spans="1:26" ht="15.7">
      <c r="B8" t="s">
        <v>79</v>
      </c>
      <c r="C8">
        <v>329.15</v>
      </c>
      <c r="D8" t="s">
        <v>80</v>
      </c>
      <c r="E8">
        <v>390.85</v>
      </c>
      <c r="I8" s="43"/>
      <c r="P8" s="110">
        <v>360.05</v>
      </c>
      <c r="Q8" s="110">
        <v>0.19800000000000001</v>
      </c>
      <c r="R8" s="110">
        <v>0.75</v>
      </c>
      <c r="S8" s="110">
        <f t="shared" si="0"/>
        <v>0.80200000000000005</v>
      </c>
      <c r="T8" s="110">
        <f t="shared" si="0"/>
        <v>0.25</v>
      </c>
      <c r="U8" s="110">
        <f t="shared" si="1"/>
        <v>472.53205464422689</v>
      </c>
      <c r="V8" s="110">
        <f t="shared" si="2"/>
        <v>237.85091109131241</v>
      </c>
      <c r="W8" s="110">
        <f t="shared" si="3"/>
        <v>84.678804010985175</v>
      </c>
      <c r="X8" s="110">
        <f t="shared" si="4"/>
        <v>125.95597167714212</v>
      </c>
      <c r="Y8" s="111">
        <f t="shared" si="5"/>
        <v>9426.1552712233643</v>
      </c>
      <c r="Z8" s="111">
        <f t="shared" si="6"/>
        <v>41411.087264956397</v>
      </c>
    </row>
    <row r="9" spans="1:26" ht="15.7">
      <c r="B9" t="s">
        <v>81</v>
      </c>
      <c r="C9">
        <v>374.48</v>
      </c>
      <c r="D9" t="s">
        <v>82</v>
      </c>
      <c r="E9">
        <v>360</v>
      </c>
      <c r="H9" s="44" t="s">
        <v>83</v>
      </c>
      <c r="I9" s="45">
        <v>0.95</v>
      </c>
      <c r="J9" s="44" t="s">
        <v>84</v>
      </c>
      <c r="K9" s="44">
        <v>0.95</v>
      </c>
      <c r="L9" s="44"/>
      <c r="P9" s="110">
        <v>358.55</v>
      </c>
      <c r="Q9" s="110">
        <v>0.215</v>
      </c>
      <c r="R9" s="110">
        <v>0.77300000000000002</v>
      </c>
      <c r="S9" s="110">
        <f t="shared" si="0"/>
        <v>0.78500000000000003</v>
      </c>
      <c r="T9" s="110">
        <f t="shared" si="0"/>
        <v>0.22699999999999998</v>
      </c>
      <c r="U9" s="110">
        <f t="shared" si="1"/>
        <v>466.7729445804415</v>
      </c>
      <c r="V9" s="110">
        <f t="shared" si="2"/>
        <v>236.5560469794377</v>
      </c>
      <c r="W9" s="110">
        <f t="shared" si="3"/>
        <v>84.445329652205913</v>
      </c>
      <c r="X9" s="110">
        <f t="shared" si="4"/>
        <v>125.56473637083151</v>
      </c>
      <c r="Y9" s="111">
        <f t="shared" si="5"/>
        <v>9109.3604178192327</v>
      </c>
      <c r="Z9" s="111">
        <f t="shared" si="6"/>
        <v>40583.031649364661</v>
      </c>
    </row>
    <row r="10" spans="1:26" ht="15.7">
      <c r="B10" t="s">
        <v>85</v>
      </c>
      <c r="C10">
        <v>298</v>
      </c>
      <c r="H10" s="44" t="s">
        <v>86</v>
      </c>
      <c r="I10" s="44"/>
      <c r="J10" s="44"/>
      <c r="K10" s="44"/>
      <c r="L10" s="44"/>
      <c r="P10" s="110">
        <v>354.85</v>
      </c>
      <c r="Q10" s="110">
        <v>0.26500000000000001</v>
      </c>
      <c r="R10" s="110">
        <v>0.80900000000000005</v>
      </c>
      <c r="S10" s="110">
        <f t="shared" si="0"/>
        <v>0.73499999999999999</v>
      </c>
      <c r="T10" s="110">
        <f t="shared" si="0"/>
        <v>0.19099999999999995</v>
      </c>
      <c r="U10" s="110">
        <f t="shared" si="1"/>
        <v>452.81815248332731</v>
      </c>
      <c r="V10" s="110">
        <f t="shared" si="2"/>
        <v>233.30231296581272</v>
      </c>
      <c r="W10" s="110">
        <f t="shared" si="3"/>
        <v>83.869497138631459</v>
      </c>
      <c r="X10" s="110">
        <f t="shared" si="4"/>
        <v>124.59649567397327</v>
      </c>
      <c r="Y10" s="111">
        <f t="shared" si="5"/>
        <v>8324.9078301119353</v>
      </c>
      <c r="Z10" s="111">
        <f t="shared" si="6"/>
        <v>39164.286902834676</v>
      </c>
    </row>
    <row r="11" spans="1:26" ht="15.7">
      <c r="A11" s="43" t="s">
        <v>49</v>
      </c>
      <c r="B11" s="132" t="s">
        <v>50</v>
      </c>
      <c r="C11" s="132"/>
      <c r="D11" s="132" t="s">
        <v>51</v>
      </c>
      <c r="E11" s="132"/>
      <c r="H11" s="44" t="s">
        <v>87</v>
      </c>
      <c r="I11" s="44">
        <v>330.21481250000005</v>
      </c>
      <c r="J11" s="44"/>
      <c r="K11" s="44" t="s">
        <v>88</v>
      </c>
      <c r="L11" s="44">
        <v>334.23366500000003</v>
      </c>
      <c r="P11" s="110">
        <v>351.95</v>
      </c>
      <c r="Q11" s="110">
        <v>0.312</v>
      </c>
      <c r="R11" s="110">
        <v>0.83699999999999997</v>
      </c>
      <c r="S11" s="110">
        <f t="shared" si="0"/>
        <v>0.68799999999999994</v>
      </c>
      <c r="T11" s="110">
        <f t="shared" si="0"/>
        <v>0.16300000000000003</v>
      </c>
      <c r="U11" s="110">
        <f t="shared" si="1"/>
        <v>442.12931828490974</v>
      </c>
      <c r="V11" s="110">
        <f t="shared" si="2"/>
        <v>230.70343847868767</v>
      </c>
      <c r="W11" s="110">
        <f t="shared" si="3"/>
        <v>83.418259009598955</v>
      </c>
      <c r="X11" s="110">
        <f t="shared" si="4"/>
        <v>123.83441933154657</v>
      </c>
      <c r="Y11" s="111">
        <f t="shared" si="5"/>
        <v>7687.3735670088945</v>
      </c>
      <c r="Z11" s="111">
        <f t="shared" si="6"/>
        <v>38066.607042475574</v>
      </c>
    </row>
    <row r="12" spans="1:26" ht="15.7">
      <c r="A12" t="s">
        <v>89</v>
      </c>
      <c r="B12" s="43" t="s">
        <v>90</v>
      </c>
      <c r="C12" s="43" t="s">
        <v>91</v>
      </c>
      <c r="D12" s="43" t="s">
        <v>90</v>
      </c>
      <c r="E12" s="43" t="s">
        <v>92</v>
      </c>
      <c r="H12" s="44"/>
      <c r="P12" s="110">
        <v>341.75</v>
      </c>
      <c r="Q12" s="110">
        <v>0.53500000000000003</v>
      </c>
      <c r="R12" s="110">
        <v>0.93</v>
      </c>
      <c r="S12" s="110">
        <f t="shared" si="0"/>
        <v>0.46499999999999997</v>
      </c>
      <c r="T12" s="110">
        <f t="shared" si="0"/>
        <v>6.9999999999999951E-2</v>
      </c>
      <c r="U12" s="110">
        <f t="shared" si="1"/>
        <v>406.2562680887583</v>
      </c>
      <c r="V12" s="110">
        <f t="shared" si="2"/>
        <v>221.37894564843759</v>
      </c>
      <c r="W12" s="110">
        <f t="shared" si="3"/>
        <v>81.832059548996753</v>
      </c>
      <c r="X12" s="110">
        <f t="shared" si="4"/>
        <v>121.13166214307201</v>
      </c>
      <c r="Y12" s="111">
        <f t="shared" si="5"/>
        <v>5039.7601755793439</v>
      </c>
      <c r="Z12" s="111">
        <f t="shared" si="6"/>
        <v>34419.513550982301</v>
      </c>
    </row>
    <row r="13" spans="1:26" ht="15.7">
      <c r="A13" s="43" t="s">
        <v>93</v>
      </c>
      <c r="B13">
        <v>35.9</v>
      </c>
      <c r="C13">
        <v>641</v>
      </c>
      <c r="D13">
        <v>8.16</v>
      </c>
      <c r="E13">
        <v>2710</v>
      </c>
      <c r="H13" s="46" t="s">
        <v>94</v>
      </c>
      <c r="I13">
        <f>K9*(C5+C6*(L11-C10))+(1-K9)*(E5+E6*(L11-C10))</f>
        <v>35946.038145077109</v>
      </c>
      <c r="J13" t="s">
        <v>95</v>
      </c>
      <c r="K13">
        <f>(I9*C7*(I11-C8))+((1-I9)*(E7)*(I11-C8))</f>
        <v>550.37995538393091</v>
      </c>
      <c r="P13" s="110">
        <v>339.35</v>
      </c>
      <c r="Q13" s="110">
        <v>0.60699999999999998</v>
      </c>
      <c r="R13" s="110">
        <v>0.94299999999999995</v>
      </c>
      <c r="S13" s="110">
        <f t="shared" si="0"/>
        <v>0.39300000000000002</v>
      </c>
      <c r="T13" s="110">
        <f t="shared" si="0"/>
        <v>5.7000000000000051E-2</v>
      </c>
      <c r="U13" s="110">
        <f t="shared" si="1"/>
        <v>398.20244479843029</v>
      </c>
      <c r="V13" s="110">
        <f t="shared" si="2"/>
        <v>219.17596681143763</v>
      </c>
      <c r="W13" s="110">
        <f t="shared" si="3"/>
        <v>81.459103117252923</v>
      </c>
      <c r="X13" s="110">
        <f t="shared" si="4"/>
        <v>120.49063677672018</v>
      </c>
      <c r="Y13" s="111">
        <f t="shared" si="5"/>
        <v>4286.6743455823444</v>
      </c>
      <c r="Z13" s="111">
        <f t="shared" si="6"/>
        <v>33829.110707914137</v>
      </c>
    </row>
    <row r="14" spans="1:26" ht="15.7">
      <c r="A14" s="43" t="s">
        <v>96</v>
      </c>
      <c r="B14">
        <v>9.3200000000000005E-2</v>
      </c>
      <c r="C14">
        <v>-4.88</v>
      </c>
      <c r="D14">
        <v>0.40100000000000002</v>
      </c>
      <c r="E14">
        <v>-23.6</v>
      </c>
      <c r="P14" s="110">
        <v>337.65</v>
      </c>
      <c r="Q14" s="110">
        <v>0.65900000000000003</v>
      </c>
      <c r="R14" s="110">
        <v>0.95099999999999996</v>
      </c>
      <c r="S14" s="110">
        <f t="shared" si="0"/>
        <v>0.34099999999999997</v>
      </c>
      <c r="T14" s="110">
        <f t="shared" si="0"/>
        <v>4.9000000000000044E-2</v>
      </c>
      <c r="U14" s="110">
        <f t="shared" si="1"/>
        <v>392.58623890558772</v>
      </c>
      <c r="V14" s="110">
        <f t="shared" si="2"/>
        <v>217.62038068731297</v>
      </c>
      <c r="W14" s="110">
        <f t="shared" si="3"/>
        <v>81.195000073313366</v>
      </c>
      <c r="X14" s="110">
        <f t="shared" si="4"/>
        <v>120.03540051794458</v>
      </c>
      <c r="Y14" s="111">
        <f t="shared" si="5"/>
        <v>3696.7328046099233</v>
      </c>
      <c r="Z14" s="111">
        <f t="shared" si="6"/>
        <v>33447.253644961696</v>
      </c>
    </row>
    <row r="15" spans="1:26" ht="15.7">
      <c r="A15" s="43" t="s">
        <v>97</v>
      </c>
      <c r="B15">
        <v>1.8700000000000002E-4</v>
      </c>
      <c r="C15">
        <v>1.38E-2</v>
      </c>
      <c r="D15">
        <v>-2.2599999999999999E-4</v>
      </c>
      <c r="E15">
        <v>7.1500000000000008E-2</v>
      </c>
      <c r="H15" s="191" t="s">
        <v>133</v>
      </c>
      <c r="I15" s="192"/>
      <c r="J15" s="193"/>
      <c r="P15" s="110">
        <v>334.75</v>
      </c>
      <c r="Q15" s="110">
        <v>0.76300000000000001</v>
      </c>
      <c r="R15" s="110">
        <v>0.97199999999999998</v>
      </c>
      <c r="S15" s="110">
        <f t="shared" si="0"/>
        <v>0.23699999999999999</v>
      </c>
      <c r="T15" s="110">
        <f t="shared" si="0"/>
        <v>2.8000000000000025E-2</v>
      </c>
      <c r="U15" s="110">
        <f t="shared" si="1"/>
        <v>383.1746618240395</v>
      </c>
      <c r="V15" s="110">
        <f t="shared" si="2"/>
        <v>214.98251999218758</v>
      </c>
      <c r="W15" s="110">
        <f t="shared" si="3"/>
        <v>80.744625983584498</v>
      </c>
      <c r="X15" s="110">
        <f t="shared" si="4"/>
        <v>119.25656421030284</v>
      </c>
      <c r="Y15" s="111">
        <f t="shared" si="5"/>
        <v>2599.5471245504032</v>
      </c>
      <c r="Z15" s="111">
        <f t="shared" si="6"/>
        <v>32588.103186301021</v>
      </c>
    </row>
    <row r="16" spans="1:26" ht="15.7">
      <c r="A16" s="43" t="s">
        <v>98</v>
      </c>
      <c r="B16">
        <v>-2.16E-7</v>
      </c>
      <c r="C16">
        <v>-7.9299999999999986E-6</v>
      </c>
      <c r="D16">
        <v>6.0399999999999998E-8</v>
      </c>
      <c r="E16">
        <v>-6.9500000000000009E-5</v>
      </c>
      <c r="H16" t="s">
        <v>134</v>
      </c>
      <c r="I16">
        <f>A21*I13-B21*K13-C21*K13</f>
        <v>2625690.5799644361</v>
      </c>
      <c r="J16" t="s">
        <v>135</v>
      </c>
      <c r="P16" s="110">
        <v>333.15</v>
      </c>
      <c r="Q16" s="110">
        <v>0.81899999999999995</v>
      </c>
      <c r="R16" s="110">
        <v>0.97799999999999998</v>
      </c>
      <c r="S16" s="110">
        <f t="shared" si="0"/>
        <v>0.18100000000000005</v>
      </c>
      <c r="T16" s="110">
        <f t="shared" si="0"/>
        <v>2.200000000000002E-2</v>
      </c>
      <c r="U16" s="110">
        <f t="shared" si="1"/>
        <v>378.07303468904246</v>
      </c>
      <c r="V16" s="110">
        <f t="shared" si="2"/>
        <v>213.53877135418782</v>
      </c>
      <c r="W16" s="110">
        <f t="shared" si="3"/>
        <v>80.49623303483034</v>
      </c>
      <c r="X16" s="110">
        <f t="shared" si="4"/>
        <v>118.82564103370163</v>
      </c>
      <c r="Y16" s="111">
        <f t="shared" si="5"/>
        <v>1919.9165173423255</v>
      </c>
      <c r="Z16" s="111">
        <f t="shared" si="6"/>
        <v>32275.805996887939</v>
      </c>
    </row>
    <row r="17" spans="1:32" ht="15.7">
      <c r="A17" s="43" t="s">
        <v>99</v>
      </c>
      <c r="B17">
        <v>6.3199999999999999E-11</v>
      </c>
      <c r="C17">
        <v>1.0100000000000001E-8</v>
      </c>
      <c r="D17">
        <v>-6.2799999999999999E-12</v>
      </c>
      <c r="E17">
        <v>0</v>
      </c>
      <c r="P17" s="110">
        <v>331.25</v>
      </c>
      <c r="Q17" s="110">
        <v>0.89700000000000002</v>
      </c>
      <c r="R17" s="110">
        <v>0.98799999999999999</v>
      </c>
      <c r="S17" s="110">
        <f t="shared" si="0"/>
        <v>0.10299999999999998</v>
      </c>
      <c r="T17" s="110">
        <f t="shared" si="0"/>
        <v>1.2000000000000011E-2</v>
      </c>
      <c r="U17" s="110">
        <f t="shared" si="1"/>
        <v>372.09863357543952</v>
      </c>
      <c r="V17" s="110">
        <f t="shared" si="2"/>
        <v>211.83801269531259</v>
      </c>
      <c r="W17" s="110">
        <f t="shared" si="3"/>
        <v>80.201354490966793</v>
      </c>
      <c r="X17" s="110">
        <f t="shared" si="4"/>
        <v>118.3127903859253</v>
      </c>
      <c r="Y17" s="111">
        <f t="shared" si="5"/>
        <v>1054.0959571773974</v>
      </c>
      <c r="Z17" s="111">
        <f t="shared" si="6"/>
        <v>31824.170910905057</v>
      </c>
    </row>
    <row r="18" spans="1:32" ht="15.7">
      <c r="P18" s="110">
        <v>329.15</v>
      </c>
      <c r="Q18" s="110">
        <v>1</v>
      </c>
      <c r="R18" s="110">
        <v>1</v>
      </c>
      <c r="S18" s="110">
        <f t="shared" si="0"/>
        <v>0</v>
      </c>
      <c r="T18" s="110">
        <f t="shared" si="0"/>
        <v>0</v>
      </c>
      <c r="U18" s="110">
        <f t="shared" si="1"/>
        <v>365.60091885016908</v>
      </c>
      <c r="V18" s="110">
        <f t="shared" si="2"/>
        <v>209.97879231918785</v>
      </c>
      <c r="W18" s="110">
        <f t="shared" si="3"/>
        <v>79.875553574542025</v>
      </c>
      <c r="X18" s="110">
        <f t="shared" si="4"/>
        <v>117.7445264309566</v>
      </c>
      <c r="Y18" s="111">
        <f t="shared" si="5"/>
        <v>0</v>
      </c>
      <c r="Z18" s="111">
        <f t="shared" si="6"/>
        <v>31300</v>
      </c>
    </row>
    <row r="19" spans="1:32">
      <c r="A19" s="43" t="s">
        <v>100</v>
      </c>
      <c r="B19" t="s">
        <v>101</v>
      </c>
    </row>
    <row r="20" spans="1:32" ht="19.350000000000001">
      <c r="A20" s="43" t="s">
        <v>102</v>
      </c>
      <c r="B20" t="s">
        <v>103</v>
      </c>
      <c r="C20" t="s">
        <v>98</v>
      </c>
      <c r="D20" t="s">
        <v>104</v>
      </c>
      <c r="E20" t="s">
        <v>105</v>
      </c>
      <c r="F20" t="s">
        <v>106</v>
      </c>
      <c r="G20" t="s">
        <v>107</v>
      </c>
      <c r="H20" t="s">
        <v>108</v>
      </c>
      <c r="I20" t="s">
        <v>109</v>
      </c>
      <c r="J20" t="s">
        <v>110</v>
      </c>
      <c r="K20" t="s">
        <v>111</v>
      </c>
      <c r="L20" t="s">
        <v>112</v>
      </c>
      <c r="N20" s="133" t="s">
        <v>166</v>
      </c>
      <c r="O20" s="134"/>
      <c r="Q20" s="135" t="s">
        <v>167</v>
      </c>
      <c r="R20" s="136"/>
      <c r="T20" s="137" t="s">
        <v>168</v>
      </c>
      <c r="U20" s="138"/>
      <c r="W20" s="139" t="s">
        <v>169</v>
      </c>
      <c r="X20" s="140"/>
      <c r="AB20" s="40" t="s">
        <v>20</v>
      </c>
      <c r="AC20" s="40" t="s">
        <v>21</v>
      </c>
      <c r="AD20" s="29" t="s">
        <v>5</v>
      </c>
      <c r="AE20" s="29" t="s">
        <v>43</v>
      </c>
      <c r="AF20" s="29" t="s">
        <v>44</v>
      </c>
    </row>
    <row r="21" spans="1:32" ht="19.350000000000001" thickBot="1">
      <c r="A21">
        <v>74.1811486</v>
      </c>
      <c r="B21">
        <v>27.121148600000001</v>
      </c>
      <c r="C21">
        <v>47.06</v>
      </c>
      <c r="D21">
        <v>0.95</v>
      </c>
      <c r="E21">
        <f>(B21*D21/A21)+(C21*0.95/A21)</f>
        <v>0.95</v>
      </c>
      <c r="F21">
        <f>-36407*E21+68264</f>
        <v>33677.35</v>
      </c>
      <c r="G21">
        <f t="shared" ref="G21:G36" si="7">(-14695*D21)+13600</f>
        <v>-360.25</v>
      </c>
      <c r="H21">
        <f>$K$13</f>
        <v>550.37995538393091</v>
      </c>
      <c r="I21">
        <f>( (A21*$I$13)-(B21*$K$13)-(C21*G21))/(F21-G21)</f>
        <v>78.399911441018304</v>
      </c>
      <c r="J21">
        <f>I21-C21</f>
        <v>31.339911441018302</v>
      </c>
      <c r="K21" s="47">
        <f t="shared" ref="K21:K36" si="8">((J21*D21)/I21)+((C21*0.95)/I21)</f>
        <v>0.95</v>
      </c>
      <c r="L21" t="b">
        <f>IF(ABS((K21-E21))&lt;0.001,TRUE,FALSE)</f>
        <v>1</v>
      </c>
      <c r="N21" s="101" t="s">
        <v>113</v>
      </c>
      <c r="O21" s="102" t="s">
        <v>114</v>
      </c>
      <c r="Q21" s="95" t="s">
        <v>136</v>
      </c>
      <c r="R21" s="96" t="s">
        <v>113</v>
      </c>
      <c r="T21" s="84" t="s">
        <v>5</v>
      </c>
      <c r="U21" s="84" t="s">
        <v>6</v>
      </c>
      <c r="W21" s="89" t="s">
        <v>137</v>
      </c>
      <c r="X21" s="90" t="s">
        <v>138</v>
      </c>
      <c r="AD21">
        <v>0.54905891689028796</v>
      </c>
      <c r="AE21">
        <v>0.93438999999999994</v>
      </c>
      <c r="AF21">
        <v>72.732846409244246</v>
      </c>
    </row>
    <row r="22" spans="1:32" ht="19">
      <c r="A22" s="48">
        <v>74.1811486</v>
      </c>
      <c r="B22" s="48">
        <v>27.121148600000001</v>
      </c>
      <c r="C22" s="48">
        <v>47.06</v>
      </c>
      <c r="D22" s="48">
        <v>0.89999999999999991</v>
      </c>
      <c r="E22" s="48">
        <f>(B22*D22/A22)+(C22*0.95/A22)</f>
        <v>0.93171964905380289</v>
      </c>
      <c r="F22" s="48">
        <f>-36407*E22+68264</f>
        <v>34342.882736898195</v>
      </c>
      <c r="G22" s="48">
        <f>(-14695*D22)+13600</f>
        <v>374.50000000000182</v>
      </c>
      <c r="H22">
        <f>$K$13</f>
        <v>550.37995538393091</v>
      </c>
      <c r="I22">
        <f t="shared" ref="I22:I36" si="9">( (A22*$I$13)-(B22*$K$13)-(C22*G22))/(F22-G22)</f>
        <v>77.541739654377295</v>
      </c>
      <c r="J22" s="48">
        <f>I22-C22</f>
        <v>30.481739654377293</v>
      </c>
      <c r="K22" s="48">
        <f t="shared" si="8"/>
        <v>0.93034494725663752</v>
      </c>
      <c r="L22" s="49" t="b">
        <f>IF(ABS((K22-E22))&lt;0.01,TRUE,FALSE)</f>
        <v>1</v>
      </c>
      <c r="N22" s="103">
        <v>0.95</v>
      </c>
      <c r="O22" s="104">
        <v>0.95</v>
      </c>
      <c r="Q22" s="97">
        <v>0.59040199999999998</v>
      </c>
      <c r="R22" s="98">
        <v>0.25865273056984139</v>
      </c>
      <c r="T22" s="85">
        <v>0</v>
      </c>
      <c r="U22" s="86">
        <v>0</v>
      </c>
      <c r="W22" s="91">
        <v>0</v>
      </c>
      <c r="X22" s="92">
        <v>0</v>
      </c>
      <c r="AB22">
        <v>0.95</v>
      </c>
      <c r="AC22">
        <v>0.93438999999999994</v>
      </c>
      <c r="AD22">
        <v>0.2943630962123634</v>
      </c>
      <c r="AE22">
        <v>0.81803689768156151</v>
      </c>
      <c r="AF22">
        <v>89.630262490245926</v>
      </c>
    </row>
    <row r="23" spans="1:32" ht="19">
      <c r="A23" s="48">
        <v>74.1811486</v>
      </c>
      <c r="B23" s="48">
        <v>27.121148600000001</v>
      </c>
      <c r="C23" s="48">
        <v>47.06</v>
      </c>
      <c r="D23" s="48">
        <v>0.89999999999999991</v>
      </c>
      <c r="E23" s="48">
        <f>K22</f>
        <v>0.93034494725663752</v>
      </c>
      <c r="F23" s="48">
        <f>-36407*E23+68264</f>
        <v>34392.9315052276</v>
      </c>
      <c r="G23" s="48">
        <f t="shared" si="7"/>
        <v>374.50000000000182</v>
      </c>
      <c r="H23">
        <f>$K$13</f>
        <v>550.37995538393091</v>
      </c>
      <c r="I23">
        <f t="shared" si="9"/>
        <v>77.427658305176209</v>
      </c>
      <c r="J23" s="48">
        <f>I23-C23</f>
        <v>30.367658305176207</v>
      </c>
      <c r="K23" s="48">
        <f t="shared" si="8"/>
        <v>0.93038965728145617</v>
      </c>
      <c r="L23" s="49" t="b">
        <f>IF(ABS((K23-E23))&lt;0.01,TRUE,FALSE)</f>
        <v>1</v>
      </c>
      <c r="N23" s="103">
        <v>0.89999999999999991</v>
      </c>
      <c r="O23" s="105">
        <v>0.93034494725663752</v>
      </c>
      <c r="Q23" s="97">
        <v>0.69040199999999996</v>
      </c>
      <c r="R23" s="98">
        <v>0.29974535944439523</v>
      </c>
      <c r="T23" s="85">
        <v>0.01</v>
      </c>
      <c r="U23" s="86">
        <v>0.105</v>
      </c>
      <c r="W23" s="91">
        <v>0.1</v>
      </c>
      <c r="X23" s="92">
        <v>0.1</v>
      </c>
      <c r="AB23">
        <v>0.54905891689028796</v>
      </c>
      <c r="AC23">
        <v>0.93438999999999994</v>
      </c>
      <c r="AD23">
        <v>0.13972906020763806</v>
      </c>
      <c r="AE23">
        <v>0.68471799809957845</v>
      </c>
      <c r="AF23">
        <v>111.62631653129037</v>
      </c>
    </row>
    <row r="24" spans="1:32" ht="19">
      <c r="A24">
        <v>74.1811486</v>
      </c>
      <c r="B24">
        <v>27.121148600000001</v>
      </c>
      <c r="C24">
        <v>47.06</v>
      </c>
      <c r="D24">
        <v>0.84999999999999987</v>
      </c>
      <c r="E24">
        <f>(B24*D24/A24)+(C24*0.95/A24)</f>
        <v>0.91343929810760571</v>
      </c>
      <c r="F24">
        <f>-36407*E24+68264</f>
        <v>35008.415473796398</v>
      </c>
      <c r="G24">
        <f t="shared" si="7"/>
        <v>1109.2500000000018</v>
      </c>
      <c r="H24">
        <f t="shared" ref="H24:H87" si="10">$K$13</f>
        <v>550.37995538393091</v>
      </c>
      <c r="I24">
        <f t="shared" si="9"/>
        <v>76.6800633388482</v>
      </c>
      <c r="J24">
        <f>I24-C24</f>
        <v>29.620063338848198</v>
      </c>
      <c r="K24">
        <f t="shared" si="8"/>
        <v>0.91137188462148555</v>
      </c>
      <c r="L24" t="b">
        <f t="shared" ref="L24:L35" si="11">IF(ABS((K24-E24))&lt;0.01,TRUE,FALSE)</f>
        <v>1</v>
      </c>
      <c r="N24" s="103">
        <v>0.89999999999999991</v>
      </c>
      <c r="O24" s="105">
        <v>0.93038965728145617</v>
      </c>
      <c r="Q24" s="97">
        <v>0.79040199999999994</v>
      </c>
      <c r="R24" s="98">
        <v>0.34013324195814393</v>
      </c>
      <c r="T24" s="85">
        <v>2.5000000000000001E-2</v>
      </c>
      <c r="U24" s="86">
        <v>0.22500000000000001</v>
      </c>
      <c r="W24" s="91">
        <v>0.2</v>
      </c>
      <c r="X24" s="92">
        <v>0.2</v>
      </c>
      <c r="AB24">
        <v>0.54905891689028796</v>
      </c>
      <c r="AC24">
        <v>0.81803689768156151</v>
      </c>
      <c r="AD24">
        <v>4.0301435621296816E-2</v>
      </c>
      <c r="AE24">
        <v>0.32502376694898688</v>
      </c>
      <c r="AF24">
        <v>133.54220595370285</v>
      </c>
    </row>
    <row r="25" spans="1:32" ht="19">
      <c r="A25">
        <v>74.1811486</v>
      </c>
      <c r="B25">
        <v>27.121148600000001</v>
      </c>
      <c r="C25">
        <v>47.06</v>
      </c>
      <c r="D25">
        <v>0.84999999999999987</v>
      </c>
      <c r="E25">
        <f>K24</f>
        <v>0.91137188462148555</v>
      </c>
      <c r="F25">
        <f>-36407*E25+68264</f>
        <v>35083.683796585574</v>
      </c>
      <c r="G25">
        <f t="shared" si="7"/>
        <v>1109.2500000000018</v>
      </c>
      <c r="H25">
        <f t="shared" si="10"/>
        <v>550.37995538393091</v>
      </c>
      <c r="I25">
        <f t="shared" si="9"/>
        <v>76.5101832521501</v>
      </c>
      <c r="J25">
        <f t="shared" ref="J25:J36" si="12">I25-C25</f>
        <v>29.450183252150097</v>
      </c>
      <c r="K25">
        <f t="shared" si="8"/>
        <v>0.91150815224805704</v>
      </c>
      <c r="L25" t="b">
        <f t="shared" si="11"/>
        <v>1</v>
      </c>
      <c r="N25" s="103">
        <v>0.84999999999999987</v>
      </c>
      <c r="O25" s="105">
        <v>0.91137188462148555</v>
      </c>
      <c r="Q25" s="97">
        <v>0.89040199999999992</v>
      </c>
      <c r="R25" s="98">
        <v>0.37987082784702347</v>
      </c>
      <c r="T25" s="85">
        <v>0.05</v>
      </c>
      <c r="U25" s="86">
        <v>0.40500000000000003</v>
      </c>
      <c r="W25" s="91">
        <v>0.3</v>
      </c>
      <c r="X25" s="92">
        <v>0.3</v>
      </c>
      <c r="AB25">
        <v>0.2943630962123634</v>
      </c>
      <c r="AC25">
        <v>0.81803689768156151</v>
      </c>
    </row>
    <row r="26" spans="1:32" ht="19">
      <c r="A26">
        <v>74.1811486</v>
      </c>
      <c r="B26">
        <v>27.121148600000001</v>
      </c>
      <c r="C26">
        <v>47.06</v>
      </c>
      <c r="D26">
        <v>0.79999999999999982</v>
      </c>
      <c r="E26">
        <f>(B26*D26/A26)+(C26*0.95/A26)</f>
        <v>0.89515894716140854</v>
      </c>
      <c r="F26">
        <f t="shared" ref="F26:F36" si="13">-36407*E26+68264</f>
        <v>35673.948210694594</v>
      </c>
      <c r="G26">
        <f t="shared" si="7"/>
        <v>1844.0000000000018</v>
      </c>
      <c r="H26">
        <f t="shared" si="10"/>
        <v>550.37995538393091</v>
      </c>
      <c r="I26">
        <f t="shared" si="9"/>
        <v>75.814860983263188</v>
      </c>
      <c r="J26">
        <f t="shared" si="12"/>
        <v>28.754860983263185</v>
      </c>
      <c r="K26">
        <f t="shared" si="8"/>
        <v>0.89310839469267544</v>
      </c>
      <c r="L26" t="b">
        <f t="shared" si="11"/>
        <v>1</v>
      </c>
      <c r="N26" s="103">
        <v>0.84999999999999987</v>
      </c>
      <c r="O26" s="105">
        <v>0.91150815224805704</v>
      </c>
      <c r="Q26" s="97">
        <v>0.99040199999999989</v>
      </c>
      <c r="R26" s="98">
        <v>0.41898938232389821</v>
      </c>
      <c r="T26" s="85">
        <v>7.0000000000000007E-2</v>
      </c>
      <c r="U26" s="86">
        <v>0.47199999999999998</v>
      </c>
      <c r="W26" s="91">
        <v>0.4</v>
      </c>
      <c r="X26" s="92">
        <v>0.4</v>
      </c>
      <c r="AB26">
        <v>0.2943630962123634</v>
      </c>
      <c r="AC26">
        <v>0.68471799809957845</v>
      </c>
    </row>
    <row r="27" spans="1:32" ht="19">
      <c r="A27">
        <v>74.1811486</v>
      </c>
      <c r="B27">
        <v>27.121148600000001</v>
      </c>
      <c r="C27">
        <v>47.06</v>
      </c>
      <c r="D27">
        <v>0.79999999999999982</v>
      </c>
      <c r="E27">
        <f>K26</f>
        <v>0.89310839469267544</v>
      </c>
      <c r="F27">
        <f t="shared" si="13"/>
        <v>35748.602674423761</v>
      </c>
      <c r="G27">
        <f t="shared" si="7"/>
        <v>1844.0000000000018</v>
      </c>
      <c r="H27">
        <f t="shared" si="10"/>
        <v>550.37995538393091</v>
      </c>
      <c r="I27">
        <f t="shared" si="9"/>
        <v>75.647924421765708</v>
      </c>
      <c r="J27">
        <f t="shared" si="12"/>
        <v>28.587924421765706</v>
      </c>
      <c r="K27">
        <f t="shared" si="8"/>
        <v>0.89331386226333731</v>
      </c>
      <c r="L27" t="b">
        <f t="shared" si="11"/>
        <v>1</v>
      </c>
      <c r="N27" s="103">
        <v>0.79999999999999982</v>
      </c>
      <c r="O27" s="105">
        <v>0.89310839469267544</v>
      </c>
      <c r="Q27" s="97">
        <v>0.1</v>
      </c>
      <c r="R27" s="98">
        <v>4.5993573196301436E-2</v>
      </c>
      <c r="T27" s="85">
        <v>0.154</v>
      </c>
      <c r="U27" s="86">
        <v>0.69799999999999995</v>
      </c>
      <c r="W27" s="91">
        <v>0.5</v>
      </c>
      <c r="X27" s="92">
        <v>0.5</v>
      </c>
      <c r="AB27">
        <v>0.13972906020763806</v>
      </c>
      <c r="AC27">
        <v>0.68471799809957845</v>
      </c>
    </row>
    <row r="28" spans="1:32" ht="19">
      <c r="A28">
        <v>74.1811486</v>
      </c>
      <c r="B28">
        <v>27.121148600000001</v>
      </c>
      <c r="C28">
        <v>47.06</v>
      </c>
      <c r="D28">
        <v>0.74999999999999978</v>
      </c>
      <c r="E28">
        <f>(B28*D28/A28)+(C28*0.95/A28)</f>
        <v>0.87687859621521136</v>
      </c>
      <c r="F28">
        <f t="shared" si="13"/>
        <v>36339.480947592805</v>
      </c>
      <c r="G28">
        <f t="shared" si="7"/>
        <v>2578.7500000000036</v>
      </c>
      <c r="H28">
        <f t="shared" si="10"/>
        <v>550.37995538393091</v>
      </c>
      <c r="I28">
        <f t="shared" si="9"/>
        <v>74.946110900042996</v>
      </c>
      <c r="J28">
        <f t="shared" si="12"/>
        <v>27.886110900042993</v>
      </c>
      <c r="K28">
        <f t="shared" si="8"/>
        <v>0.8755835678058459</v>
      </c>
      <c r="L28" t="b">
        <f t="shared" si="11"/>
        <v>1</v>
      </c>
      <c r="N28" s="103">
        <v>0.79999999999999982</v>
      </c>
      <c r="O28" s="105">
        <v>0.89331386226333731</v>
      </c>
      <c r="Q28" s="97">
        <v>0.2</v>
      </c>
      <c r="R28" s="98">
        <v>9.1016681816916106E-2</v>
      </c>
      <c r="T28" s="85">
        <v>0.19800000000000001</v>
      </c>
      <c r="U28" s="86">
        <v>0.75</v>
      </c>
      <c r="W28" s="91">
        <v>0.6</v>
      </c>
      <c r="X28" s="92">
        <v>0.6</v>
      </c>
      <c r="AB28">
        <v>0.13972906020763806</v>
      </c>
      <c r="AC28">
        <v>0.32502376694898688</v>
      </c>
    </row>
    <row r="29" spans="1:32" ht="19">
      <c r="A29">
        <v>74.1811486</v>
      </c>
      <c r="B29">
        <v>27.121148600000001</v>
      </c>
      <c r="C29">
        <v>47.06</v>
      </c>
      <c r="D29">
        <v>0.74999999999999978</v>
      </c>
      <c r="E29">
        <f>K28</f>
        <v>0.8755835678058459</v>
      </c>
      <c r="F29">
        <f t="shared" si="13"/>
        <v>36386.629046892573</v>
      </c>
      <c r="G29">
        <f t="shared" si="7"/>
        <v>2578.7500000000036</v>
      </c>
      <c r="H29">
        <f t="shared" si="10"/>
        <v>550.37995538393091</v>
      </c>
      <c r="I29">
        <f t="shared" si="9"/>
        <v>74.841591871388601</v>
      </c>
      <c r="J29">
        <f t="shared" si="12"/>
        <v>27.781591871388599</v>
      </c>
      <c r="K29">
        <f t="shared" si="8"/>
        <v>0.8757589498653906</v>
      </c>
      <c r="L29" t="b">
        <f t="shared" si="11"/>
        <v>1</v>
      </c>
      <c r="N29" s="103">
        <v>0.74999999999999978</v>
      </c>
      <c r="O29" s="105">
        <v>0.8755835678058459</v>
      </c>
      <c r="Q29" s="97">
        <v>0.30000000000000004</v>
      </c>
      <c r="R29" s="98">
        <v>0.13516121291559161</v>
      </c>
      <c r="T29" s="85">
        <v>0.215</v>
      </c>
      <c r="U29" s="86">
        <v>0.77300000000000002</v>
      </c>
      <c r="W29" s="91">
        <v>0.7</v>
      </c>
      <c r="X29" s="92">
        <v>0.7</v>
      </c>
      <c r="AB29">
        <v>4.0301435621296816E-2</v>
      </c>
      <c r="AC29">
        <v>0.32502376694898688</v>
      </c>
    </row>
    <row r="30" spans="1:32" ht="19">
      <c r="A30">
        <v>74.1811486</v>
      </c>
      <c r="B30">
        <v>27.121148600000001</v>
      </c>
      <c r="C30">
        <v>47.06</v>
      </c>
      <c r="D30">
        <v>0.69999999999999973</v>
      </c>
      <c r="E30">
        <f>(B30*D30/A30)+(C30*0.95/A30)</f>
        <v>0.85859824526901418</v>
      </c>
      <c r="F30">
        <f t="shared" si="13"/>
        <v>37005.013684491001</v>
      </c>
      <c r="G30">
        <f t="shared" si="7"/>
        <v>3313.5000000000036</v>
      </c>
      <c r="H30">
        <f t="shared" si="10"/>
        <v>550.37995538393091</v>
      </c>
      <c r="I30">
        <f t="shared" si="9"/>
        <v>74.073791223384973</v>
      </c>
      <c r="J30">
        <f t="shared" si="12"/>
        <v>27.01379122338497</v>
      </c>
      <c r="K30">
        <f t="shared" si="8"/>
        <v>0.8588281064826313</v>
      </c>
      <c r="L30" t="b">
        <f t="shared" si="11"/>
        <v>1</v>
      </c>
      <c r="N30" s="103">
        <v>0.74999999999999978</v>
      </c>
      <c r="O30" s="105">
        <v>0.8757589498653906</v>
      </c>
      <c r="Q30" s="97">
        <v>0.4</v>
      </c>
      <c r="R30" s="98">
        <v>0.17844311425760184</v>
      </c>
      <c r="T30" s="85">
        <v>0.26500000000000001</v>
      </c>
      <c r="U30" s="86">
        <v>0.80900000000000005</v>
      </c>
      <c r="W30" s="91">
        <v>0.8</v>
      </c>
      <c r="X30" s="92">
        <v>0.8</v>
      </c>
    </row>
    <row r="31" spans="1:32" ht="19">
      <c r="A31">
        <v>74.1811486</v>
      </c>
      <c r="B31">
        <v>27.121148600000001</v>
      </c>
      <c r="C31">
        <v>47.06</v>
      </c>
      <c r="D31">
        <v>0.69999999999999973</v>
      </c>
      <c r="E31">
        <f>K30</f>
        <v>0.8588281064826313</v>
      </c>
      <c r="F31">
        <f t="shared" si="13"/>
        <v>36996.645127286843</v>
      </c>
      <c r="G31">
        <f t="shared" si="7"/>
        <v>3313.5000000000036</v>
      </c>
      <c r="H31">
        <f t="shared" si="10"/>
        <v>550.37995538393091</v>
      </c>
      <c r="I31">
        <f t="shared" si="9"/>
        <v>74.092194812385912</v>
      </c>
      <c r="J31">
        <f t="shared" si="12"/>
        <v>27.03219481238591</v>
      </c>
      <c r="K31">
        <f t="shared" si="8"/>
        <v>0.85878865553640282</v>
      </c>
      <c r="L31" t="b">
        <f t="shared" si="11"/>
        <v>1</v>
      </c>
      <c r="N31" s="103">
        <v>0.69999999999999973</v>
      </c>
      <c r="O31" s="105">
        <v>0.8588281064826313</v>
      </c>
      <c r="Q31" s="97">
        <v>0.5</v>
      </c>
      <c r="R31" s="98">
        <v>0.22092340984211664</v>
      </c>
      <c r="T31" s="85">
        <v>0.312</v>
      </c>
      <c r="U31" s="86">
        <v>0.83699999999999997</v>
      </c>
      <c r="W31" s="91">
        <v>0.9</v>
      </c>
      <c r="X31" s="92">
        <v>0.9</v>
      </c>
    </row>
    <row r="32" spans="1:32" ht="19">
      <c r="A32">
        <v>74.1811486</v>
      </c>
      <c r="B32">
        <v>27.121148600000001</v>
      </c>
      <c r="C32">
        <v>47.06</v>
      </c>
      <c r="D32">
        <v>0.64999999999999969</v>
      </c>
      <c r="E32">
        <f>(B32*D32/A32)+(C32*0.95/A32)</f>
        <v>0.84031789432281712</v>
      </c>
      <c r="F32">
        <f t="shared" si="13"/>
        <v>37670.546421389197</v>
      </c>
      <c r="G32">
        <f t="shared" si="7"/>
        <v>4048.2500000000055</v>
      </c>
      <c r="H32">
        <f t="shared" si="10"/>
        <v>550.37995538393091</v>
      </c>
      <c r="I32">
        <f t="shared" si="9"/>
        <v>73.197879907428344</v>
      </c>
      <c r="J32">
        <f t="shared" si="12"/>
        <v>26.137879907428342</v>
      </c>
      <c r="K32">
        <f t="shared" si="8"/>
        <v>0.84287443868394407</v>
      </c>
      <c r="L32" t="b">
        <f t="shared" si="11"/>
        <v>1</v>
      </c>
      <c r="N32" s="103">
        <v>0.69999999999999973</v>
      </c>
      <c r="O32" s="105">
        <v>0.85878865553640282</v>
      </c>
      <c r="Q32" s="97">
        <v>0.6</v>
      </c>
      <c r="R32" s="98">
        <v>0.26264597715351934</v>
      </c>
      <c r="T32" s="85">
        <v>0.53500000000000003</v>
      </c>
      <c r="U32" s="86">
        <v>0.93</v>
      </c>
      <c r="W32" s="93">
        <v>1</v>
      </c>
      <c r="X32" s="94">
        <v>1</v>
      </c>
    </row>
    <row r="33" spans="1:21" ht="19">
      <c r="A33">
        <v>74.1811486</v>
      </c>
      <c r="B33">
        <v>27.121148600000001</v>
      </c>
      <c r="C33">
        <v>47.06</v>
      </c>
      <c r="D33">
        <v>0.64999999999999969</v>
      </c>
      <c r="E33">
        <f t="shared" ref="E33:E36" si="14">K32</f>
        <v>0.84287443868394407</v>
      </c>
      <c r="F33">
        <f t="shared" si="13"/>
        <v>37577.470310833647</v>
      </c>
      <c r="G33">
        <f t="shared" si="7"/>
        <v>4048.2500000000055</v>
      </c>
      <c r="H33">
        <f t="shared" si="10"/>
        <v>550.37995538393091</v>
      </c>
      <c r="I33">
        <f t="shared" si="9"/>
        <v>73.401075027969043</v>
      </c>
      <c r="J33">
        <f t="shared" si="12"/>
        <v>26.34107502796904</v>
      </c>
      <c r="K33">
        <f t="shared" si="8"/>
        <v>0.84234050720129661</v>
      </c>
      <c r="L33" t="b">
        <f t="shared" si="11"/>
        <v>1</v>
      </c>
      <c r="N33" s="103">
        <v>0.64999999999999969</v>
      </c>
      <c r="O33" s="105">
        <v>0.84287443868394407</v>
      </c>
      <c r="Q33" s="97">
        <v>0.7</v>
      </c>
      <c r="R33" s="98">
        <v>0.30365091490046664</v>
      </c>
      <c r="T33" s="85">
        <v>0.60699999999999998</v>
      </c>
      <c r="U33" s="86">
        <v>0.94299999999999995</v>
      </c>
    </row>
    <row r="34" spans="1:21" ht="19">
      <c r="A34">
        <v>74.1811486</v>
      </c>
      <c r="B34">
        <v>27.121148600000001</v>
      </c>
      <c r="C34">
        <v>47.06</v>
      </c>
      <c r="D34">
        <v>0.59999999999999964</v>
      </c>
      <c r="E34">
        <f>(B34*D34/A34)+(C34*0.95/A34)</f>
        <v>0.82203754337661994</v>
      </c>
      <c r="F34">
        <f t="shared" si="13"/>
        <v>38336.079158287394</v>
      </c>
      <c r="G34">
        <f t="shared" si="7"/>
        <v>4783.0000000000055</v>
      </c>
      <c r="H34">
        <f t="shared" si="10"/>
        <v>550.37995538393091</v>
      </c>
      <c r="I34">
        <f t="shared" si="9"/>
        <v>72.318354724397139</v>
      </c>
      <c r="J34">
        <f t="shared" si="12"/>
        <v>25.258354724397137</v>
      </c>
      <c r="K34">
        <f t="shared" si="8"/>
        <v>0.82775684074631428</v>
      </c>
      <c r="L34" t="b">
        <f t="shared" si="11"/>
        <v>1</v>
      </c>
      <c r="N34" s="103">
        <v>0.64999999999999969</v>
      </c>
      <c r="O34" s="105">
        <v>0.84234050720129661</v>
      </c>
      <c r="Q34" s="97">
        <v>0.79999999999999993</v>
      </c>
      <c r="R34" s="98">
        <v>0.34397495269339656</v>
      </c>
      <c r="T34" s="85">
        <v>0.65900000000000003</v>
      </c>
      <c r="U34" s="86">
        <v>0.95099999999999996</v>
      </c>
    </row>
    <row r="35" spans="1:21" ht="19">
      <c r="A35">
        <v>74.1811486</v>
      </c>
      <c r="B35">
        <v>27.121148600000001</v>
      </c>
      <c r="C35">
        <v>47.06</v>
      </c>
      <c r="D35">
        <v>0.59999999999999964</v>
      </c>
      <c r="E35">
        <f t="shared" si="14"/>
        <v>0.82775684074631428</v>
      </c>
      <c r="F35">
        <f t="shared" si="13"/>
        <v>38127.856698948934</v>
      </c>
      <c r="G35">
        <f t="shared" si="7"/>
        <v>4783.0000000000055</v>
      </c>
      <c r="H35">
        <f t="shared" si="10"/>
        <v>550.37995538393091</v>
      </c>
      <c r="I35">
        <f t="shared" si="9"/>
        <v>72.769947778521725</v>
      </c>
      <c r="J35">
        <f t="shared" si="12"/>
        <v>25.709947778521723</v>
      </c>
      <c r="K35">
        <f t="shared" si="8"/>
        <v>0.82634343575633917</v>
      </c>
      <c r="L35" t="b">
        <f t="shared" si="11"/>
        <v>1</v>
      </c>
      <c r="N35" s="103">
        <v>0.59999999999999964</v>
      </c>
      <c r="O35" s="105">
        <v>0.82775684074631428</v>
      </c>
      <c r="Q35" s="97">
        <v>0.89999999999999991</v>
      </c>
      <c r="R35" s="98">
        <v>0.38365180834850765</v>
      </c>
      <c r="T35" s="85">
        <v>0.76300000000000001</v>
      </c>
      <c r="U35" s="86">
        <v>0.97199999999999998</v>
      </c>
    </row>
    <row r="36" spans="1:21" ht="19">
      <c r="A36">
        <v>74.1811486</v>
      </c>
      <c r="B36">
        <v>27.121148600000001</v>
      </c>
      <c r="C36">
        <v>47.06</v>
      </c>
      <c r="D36">
        <v>0.49999999999999967</v>
      </c>
      <c r="E36">
        <f t="shared" si="14"/>
        <v>0.82634343575633917</v>
      </c>
      <c r="F36">
        <f t="shared" si="13"/>
        <v>38179.314534418954</v>
      </c>
      <c r="G36">
        <f t="shared" si="7"/>
        <v>6252.5000000000045</v>
      </c>
      <c r="H36">
        <f t="shared" si="10"/>
        <v>550.37995538393091</v>
      </c>
      <c r="I36">
        <f t="shared" si="9"/>
        <v>73.836016685079727</v>
      </c>
      <c r="J36">
        <f t="shared" si="12"/>
        <v>26.776016685079725</v>
      </c>
      <c r="K36">
        <f t="shared" si="8"/>
        <v>0.78681124674320746</v>
      </c>
      <c r="L36" t="b">
        <f>IF(ABS((K36-E36))&lt;0.01,TRUE,FALSE)</f>
        <v>0</v>
      </c>
      <c r="N36" s="103">
        <v>0.59999999999999964</v>
      </c>
      <c r="O36" s="105">
        <v>0.82634343575633917</v>
      </c>
      <c r="Q36" s="97">
        <v>0.99999999999999989</v>
      </c>
      <c r="R36" s="98">
        <v>0.42271250047083631</v>
      </c>
      <c r="T36" s="85">
        <v>0.81899999999999995</v>
      </c>
      <c r="U36" s="86">
        <v>0.97799999999999998</v>
      </c>
    </row>
    <row r="37" spans="1:21" ht="19">
      <c r="A37">
        <v>74.1811486</v>
      </c>
      <c r="B37">
        <v>27.121148600000001</v>
      </c>
      <c r="C37">
        <v>47.06</v>
      </c>
      <c r="D37">
        <v>0.5</v>
      </c>
      <c r="E37">
        <f>K36</f>
        <v>0.78681124674320746</v>
      </c>
      <c r="F37">
        <f>-36407*E37+68264</f>
        <v>39618.562939820047</v>
      </c>
      <c r="G37">
        <f>(-14695*D37)+13600</f>
        <v>6252.5</v>
      </c>
      <c r="H37">
        <f t="shared" si="10"/>
        <v>550.37995538393091</v>
      </c>
      <c r="I37">
        <f>( (A37*$I$13)-(B37*$K$13)-(C37*G37))/(F37-G37)</f>
        <v>70.651092845943012</v>
      </c>
      <c r="J37">
        <f>I37-C37</f>
        <v>23.59109284594301</v>
      </c>
      <c r="K37">
        <f>((J37*D37)/I37)+((C37*0.95)/I37)</f>
        <v>0.79974058640787238</v>
      </c>
      <c r="L37" t="b">
        <f>IF(ABS((K37-E37))&lt;0.01,TRUE,FALSE)</f>
        <v>0</v>
      </c>
      <c r="N37" s="103">
        <v>0.5</v>
      </c>
      <c r="O37" s="105">
        <v>0.79551193557073441</v>
      </c>
      <c r="Q37" s="99">
        <v>0</v>
      </c>
      <c r="R37" s="100">
        <v>0</v>
      </c>
      <c r="T37" s="85">
        <v>0.89700000000000002</v>
      </c>
      <c r="U37" s="86">
        <v>0.98799999999999999</v>
      </c>
    </row>
    <row r="38" spans="1:21" ht="19">
      <c r="A38">
        <v>74.1811486</v>
      </c>
      <c r="B38">
        <v>27.121148600000001</v>
      </c>
      <c r="C38">
        <v>47.06</v>
      </c>
      <c r="D38">
        <v>0.5</v>
      </c>
      <c r="E38">
        <f>K37</f>
        <v>0.79974058640787238</v>
      </c>
      <c r="F38">
        <f>-36407*E38+68264</f>
        <v>39147.84447064859</v>
      </c>
      <c r="G38">
        <f>(-14695*D38)+13600</f>
        <v>6252.5</v>
      </c>
      <c r="H38">
        <f t="shared" si="10"/>
        <v>550.37995538393091</v>
      </c>
      <c r="I38">
        <f>( (A38*$I$13)-(B38*$K$13)-(C38*G38))/(F38-G38)</f>
        <v>71.662080108879465</v>
      </c>
      <c r="J38">
        <f>I38-C38</f>
        <v>24.602080108879463</v>
      </c>
      <c r="K38">
        <f>((J38*D38)/I38)+((C38*0.95)/I38)</f>
        <v>0.79551193557073441</v>
      </c>
      <c r="L38" t="b">
        <f>IF(ABS((K38-E38))&lt;0.01,TRUE,FALSE)</f>
        <v>1</v>
      </c>
      <c r="N38" s="103">
        <v>0.5</v>
      </c>
      <c r="O38" s="105">
        <v>0.79689495190151405</v>
      </c>
      <c r="T38" s="87">
        <v>1</v>
      </c>
      <c r="U38" s="88">
        <v>1</v>
      </c>
    </row>
    <row r="39" spans="1:21">
      <c r="A39">
        <v>74.1811486</v>
      </c>
      <c r="B39">
        <v>27.121148600000001</v>
      </c>
      <c r="C39">
        <v>47.06</v>
      </c>
      <c r="D39">
        <v>0.5</v>
      </c>
      <c r="E39">
        <f>K38</f>
        <v>0.79551193557073441</v>
      </c>
      <c r="F39">
        <f>-36407*E39+68264</f>
        <v>39301.796961676271</v>
      </c>
      <c r="G39">
        <f>(-14695*D39)+13600</f>
        <v>6252.5</v>
      </c>
      <c r="H39">
        <f t="shared" si="10"/>
        <v>550.37995538393091</v>
      </c>
      <c r="I39">
        <f>( (A39*$I$13)-(B39*$K$13)-(C39*G39))/(F39-G39)</f>
        <v>71.328258915715182</v>
      </c>
      <c r="J39">
        <f>I39-C39</f>
        <v>24.26825891571518</v>
      </c>
      <c r="K39">
        <f>((J39*D39)/I39)+((C39*0.95)/I39)</f>
        <v>0.79689495190151405</v>
      </c>
      <c r="L39" t="b">
        <f>IF(ABS((K39-E39))&lt;0.01,TRUE,FALSE)</f>
        <v>1</v>
      </c>
      <c r="N39" s="103">
        <v>0.4</v>
      </c>
      <c r="O39" s="105">
        <v>0.76639571541906948</v>
      </c>
    </row>
    <row r="40" spans="1:21">
      <c r="A40">
        <v>74.1811486</v>
      </c>
      <c r="B40">
        <v>27.121148600000001</v>
      </c>
      <c r="C40">
        <v>47.06</v>
      </c>
      <c r="D40">
        <v>0.4</v>
      </c>
      <c r="E40">
        <f>K39</f>
        <v>0.79689495190151405</v>
      </c>
      <c r="F40">
        <f>-36407*E40+68264</f>
        <v>39251.445486121578</v>
      </c>
      <c r="G40">
        <f>(-14695*D40)+13600</f>
        <v>7722</v>
      </c>
      <c r="H40">
        <f t="shared" si="10"/>
        <v>550.37995538393091</v>
      </c>
      <c r="I40">
        <f>( (A40*$I$13)-(B40*$K$13)-(C40*G40))/(F40-G40)</f>
        <v>72.573244006844533</v>
      </c>
      <c r="J40">
        <f>I40-C40</f>
        <v>25.513244006844531</v>
      </c>
      <c r="K40">
        <f>((J40*D40)/I40)+((C40*0.95)/I40)</f>
        <v>0.75664658999615508</v>
      </c>
      <c r="L40" t="b">
        <f>IF(ABS((K40-E40))&lt;0.01,TRUE,FALSE)</f>
        <v>0</v>
      </c>
      <c r="N40" s="103">
        <v>0.4</v>
      </c>
      <c r="O40" s="105">
        <v>0.76920676250514908</v>
      </c>
    </row>
    <row r="41" spans="1:21">
      <c r="A41">
        <v>74.1811486</v>
      </c>
      <c r="B41">
        <v>27.121148600000001</v>
      </c>
      <c r="C41">
        <v>47.06</v>
      </c>
      <c r="D41">
        <v>0.4</v>
      </c>
      <c r="E41">
        <f t="shared" ref="E41:E90" si="15">K40</f>
        <v>0.75664658999615508</v>
      </c>
      <c r="F41">
        <f t="shared" ref="F41:F90" si="16">-36407*E41+68264</f>
        <v>40716.767598009981</v>
      </c>
      <c r="G41">
        <f t="shared" ref="G41:G90" si="17">(-14695*D41)+13600</f>
        <v>7722</v>
      </c>
      <c r="H41">
        <f t="shared" si="10"/>
        <v>550.37995538393091</v>
      </c>
      <c r="I41">
        <f t="shared" ref="I41:I90" si="18">( (A41*$I$13)-(B41*$K$13)-(C41*G41))/(F41-G41)</f>
        <v>69.350212389518774</v>
      </c>
      <c r="J41">
        <f t="shared" ref="J41:J90" si="19">I41-C41</f>
        <v>22.290212389518771</v>
      </c>
      <c r="K41">
        <f t="shared" ref="K41:K90" si="20">((J41*D41)/I41)+((C41*0.95)/I41)</f>
        <v>0.77322163996590465</v>
      </c>
      <c r="L41" t="b">
        <f t="shared" ref="L41:L90" si="21">IF(ABS((K41-E41))&lt;0.01,TRUE,FALSE)</f>
        <v>0</v>
      </c>
      <c r="N41" s="103">
        <v>0.3</v>
      </c>
      <c r="O41" s="105">
        <v>0.74367593966885337</v>
      </c>
      <c r="Q41" s="112" t="s">
        <v>172</v>
      </c>
    </row>
    <row r="42" spans="1:21">
      <c r="A42">
        <v>74.1811486</v>
      </c>
      <c r="B42">
        <v>27.121148600000001</v>
      </c>
      <c r="C42">
        <v>47.06</v>
      </c>
      <c r="D42">
        <v>0.4</v>
      </c>
      <c r="E42">
        <f t="shared" si="15"/>
        <v>0.77322163996590465</v>
      </c>
      <c r="F42">
        <f t="shared" si="16"/>
        <v>40113.319753761309</v>
      </c>
      <c r="G42">
        <f t="shared" si="17"/>
        <v>7722</v>
      </c>
      <c r="H42">
        <f t="shared" si="10"/>
        <v>550.37995538393091</v>
      </c>
      <c r="I42">
        <f t="shared" si="18"/>
        <v>70.642201616348075</v>
      </c>
      <c r="J42">
        <f t="shared" si="19"/>
        <v>23.582201616348073</v>
      </c>
      <c r="K42">
        <f t="shared" si="20"/>
        <v>0.76639571541906948</v>
      </c>
      <c r="L42" t="b">
        <f t="shared" si="21"/>
        <v>1</v>
      </c>
      <c r="N42" s="103">
        <v>0.3</v>
      </c>
      <c r="O42" s="105">
        <v>0.7410787804910145</v>
      </c>
      <c r="Q42" s="113" t="s">
        <v>138</v>
      </c>
      <c r="R42" s="113" t="s">
        <v>137</v>
      </c>
    </row>
    <row r="43" spans="1:21">
      <c r="A43">
        <v>74.1811486</v>
      </c>
      <c r="B43">
        <v>27.121148600000001</v>
      </c>
      <c r="C43">
        <v>47.06</v>
      </c>
      <c r="D43">
        <v>0.4</v>
      </c>
      <c r="E43">
        <f t="shared" si="15"/>
        <v>0.76639571541906948</v>
      </c>
      <c r="F43">
        <f t="shared" si="16"/>
        <v>40361.831188737939</v>
      </c>
      <c r="G43">
        <f t="shared" si="17"/>
        <v>7722</v>
      </c>
      <c r="H43">
        <f t="shared" si="10"/>
        <v>550.37995538393091</v>
      </c>
      <c r="I43">
        <f t="shared" si="18"/>
        <v>70.104349726365115</v>
      </c>
      <c r="J43">
        <f t="shared" si="19"/>
        <v>23.044349726365112</v>
      </c>
      <c r="K43">
        <f t="shared" si="20"/>
        <v>0.76920676250514908</v>
      </c>
      <c r="L43" t="b">
        <f t="shared" si="21"/>
        <v>1</v>
      </c>
      <c r="N43" s="103">
        <v>0.3</v>
      </c>
      <c r="O43" s="105">
        <v>0.7423821984904958</v>
      </c>
      <c r="Q43" s="113">
        <v>0</v>
      </c>
      <c r="R43" s="113">
        <f>-0.523192775*Q43+0.761596387</f>
        <v>0.76159638699999999</v>
      </c>
    </row>
    <row r="44" spans="1:21">
      <c r="A44">
        <v>74.1811486</v>
      </c>
      <c r="B44">
        <v>27.121148600000001</v>
      </c>
      <c r="C44">
        <v>47.06</v>
      </c>
      <c r="D44">
        <v>0.3</v>
      </c>
      <c r="E44">
        <f t="shared" si="15"/>
        <v>0.76920676250514908</v>
      </c>
      <c r="F44">
        <f t="shared" si="16"/>
        <v>40259.489397475038</v>
      </c>
      <c r="G44">
        <f t="shared" si="17"/>
        <v>9191.5</v>
      </c>
      <c r="H44">
        <f t="shared" si="10"/>
        <v>550.37995538393091</v>
      </c>
      <c r="I44">
        <f t="shared" si="18"/>
        <v>71.425268055651841</v>
      </c>
      <c r="J44">
        <f t="shared" si="19"/>
        <v>24.365268055651839</v>
      </c>
      <c r="K44">
        <f t="shared" si="20"/>
        <v>0.7282658061033277</v>
      </c>
      <c r="L44" t="b">
        <f t="shared" si="21"/>
        <v>0</v>
      </c>
      <c r="N44" s="103">
        <v>0.2</v>
      </c>
      <c r="O44" s="105">
        <v>0.720308745862138</v>
      </c>
      <c r="Q44" s="113">
        <v>0.05</v>
      </c>
      <c r="R44" s="113">
        <f t="shared" ref="R44:R63" si="22">-0.523192775*Q44+0.761596387</f>
        <v>0.73543674824999994</v>
      </c>
    </row>
    <row r="45" spans="1:21">
      <c r="A45">
        <v>74.1811486</v>
      </c>
      <c r="B45">
        <v>27.121148600000001</v>
      </c>
      <c r="C45">
        <v>47.06</v>
      </c>
      <c r="D45">
        <v>0.3</v>
      </c>
      <c r="E45">
        <f t="shared" si="15"/>
        <v>0.7282658061033277</v>
      </c>
      <c r="F45">
        <f t="shared" si="16"/>
        <v>41750.026797196144</v>
      </c>
      <c r="G45">
        <f t="shared" si="17"/>
        <v>9191.5</v>
      </c>
      <c r="H45">
        <f t="shared" si="10"/>
        <v>550.37995538393091</v>
      </c>
      <c r="I45">
        <f t="shared" si="18"/>
        <v>68.155401639852514</v>
      </c>
      <c r="J45">
        <f t="shared" si="19"/>
        <v>21.095401639852511</v>
      </c>
      <c r="K45">
        <f t="shared" si="20"/>
        <v>0.74881255577714467</v>
      </c>
      <c r="L45" t="b">
        <f t="shared" si="21"/>
        <v>0</v>
      </c>
      <c r="N45" s="103">
        <v>0.2</v>
      </c>
      <c r="O45" s="105">
        <v>0.71514941825524747</v>
      </c>
      <c r="Q45" s="113">
        <v>0.1</v>
      </c>
      <c r="R45" s="113">
        <f t="shared" si="22"/>
        <v>0.7092771095</v>
      </c>
    </row>
    <row r="46" spans="1:21">
      <c r="A46">
        <v>74.1811486</v>
      </c>
      <c r="B46">
        <v>27.121148600000001</v>
      </c>
      <c r="C46">
        <v>47.06</v>
      </c>
      <c r="D46">
        <v>0.3</v>
      </c>
      <c r="E46">
        <f t="shared" si="15"/>
        <v>0.74881255577714467</v>
      </c>
      <c r="F46">
        <f t="shared" si="16"/>
        <v>41001.981281821492</v>
      </c>
      <c r="G46">
        <f t="shared" si="17"/>
        <v>9191.5</v>
      </c>
      <c r="H46">
        <f t="shared" si="10"/>
        <v>550.37995538393091</v>
      </c>
      <c r="I46">
        <f t="shared" si="18"/>
        <v>69.75812314832541</v>
      </c>
      <c r="J46">
        <f t="shared" si="19"/>
        <v>22.698123148325408</v>
      </c>
      <c r="K46">
        <f t="shared" si="20"/>
        <v>0.7385009031128773</v>
      </c>
      <c r="L46" t="b">
        <f t="shared" si="21"/>
        <v>0</v>
      </c>
      <c r="N46" s="103">
        <v>0.2</v>
      </c>
      <c r="O46" s="105">
        <v>0.71823314577322706</v>
      </c>
      <c r="Q46" s="113">
        <v>0.15</v>
      </c>
      <c r="R46" s="113">
        <f t="shared" si="22"/>
        <v>0.68311747074999996</v>
      </c>
    </row>
    <row r="47" spans="1:21">
      <c r="A47">
        <v>74.1811486</v>
      </c>
      <c r="B47">
        <v>27.121148600000001</v>
      </c>
      <c r="C47">
        <v>47.06</v>
      </c>
      <c r="D47">
        <v>0.3</v>
      </c>
      <c r="E47">
        <f t="shared" si="15"/>
        <v>0.7385009031128773</v>
      </c>
      <c r="F47">
        <f t="shared" si="16"/>
        <v>41377.397620369476</v>
      </c>
      <c r="G47">
        <f t="shared" si="17"/>
        <v>9191.5</v>
      </c>
      <c r="H47">
        <f t="shared" si="10"/>
        <v>550.37995538393091</v>
      </c>
      <c r="I47">
        <f t="shared" si="18"/>
        <v>68.944464337711722</v>
      </c>
      <c r="J47">
        <f t="shared" si="19"/>
        <v>21.884464337711719</v>
      </c>
      <c r="K47">
        <f t="shared" si="20"/>
        <v>0.74367593966885337</v>
      </c>
      <c r="L47" t="b">
        <f t="shared" si="21"/>
        <v>1</v>
      </c>
      <c r="N47" s="103">
        <v>0.2</v>
      </c>
      <c r="O47" s="105">
        <v>0.71639000338536163</v>
      </c>
      <c r="Q47" s="113">
        <v>0.2</v>
      </c>
      <c r="R47" s="113">
        <f t="shared" si="22"/>
        <v>0.65695783200000002</v>
      </c>
    </row>
    <row r="48" spans="1:21">
      <c r="A48">
        <v>74.1811486</v>
      </c>
      <c r="B48">
        <v>27.121148600000001</v>
      </c>
      <c r="C48">
        <v>47.06</v>
      </c>
      <c r="D48">
        <v>0.3</v>
      </c>
      <c r="E48">
        <f t="shared" si="15"/>
        <v>0.74367593966885337</v>
      </c>
      <c r="F48">
        <f t="shared" si="16"/>
        <v>41188.990064476056</v>
      </c>
      <c r="G48">
        <f t="shared" si="17"/>
        <v>9191.5</v>
      </c>
      <c r="H48">
        <f t="shared" si="10"/>
        <v>550.37995538393091</v>
      </c>
      <c r="I48">
        <f t="shared" si="18"/>
        <v>69.350422992346026</v>
      </c>
      <c r="J48">
        <f t="shared" si="19"/>
        <v>22.290422992346024</v>
      </c>
      <c r="K48">
        <f t="shared" si="20"/>
        <v>0.7410787804910145</v>
      </c>
      <c r="L48" t="b">
        <f t="shared" si="21"/>
        <v>1</v>
      </c>
      <c r="N48" s="103">
        <v>0.2</v>
      </c>
      <c r="O48" s="105">
        <v>0.71749164866437498</v>
      </c>
      <c r="Q48" s="113">
        <v>0.25</v>
      </c>
      <c r="R48" s="113">
        <f t="shared" si="22"/>
        <v>0.63079819324999997</v>
      </c>
    </row>
    <row r="49" spans="1:18">
      <c r="A49">
        <v>74.1811486</v>
      </c>
      <c r="B49">
        <v>27.121148600000001</v>
      </c>
      <c r="C49">
        <v>47.06</v>
      </c>
      <c r="D49">
        <v>0.3</v>
      </c>
      <c r="E49">
        <f t="shared" si="15"/>
        <v>0.7410787804910145</v>
      </c>
      <c r="F49">
        <f t="shared" si="16"/>
        <v>41283.544838663634</v>
      </c>
      <c r="G49">
        <f t="shared" si="17"/>
        <v>9191.5</v>
      </c>
      <c r="H49">
        <f t="shared" si="10"/>
        <v>550.37995538393091</v>
      </c>
      <c r="I49">
        <f t="shared" si="18"/>
        <v>69.146091556975662</v>
      </c>
      <c r="J49">
        <f t="shared" si="19"/>
        <v>22.08609155697566</v>
      </c>
      <c r="K49">
        <f t="shared" si="20"/>
        <v>0.7423821984904958</v>
      </c>
      <c r="L49" t="b">
        <f t="shared" si="21"/>
        <v>1</v>
      </c>
      <c r="N49" s="103">
        <v>0.2</v>
      </c>
      <c r="O49" s="105">
        <v>0.71683319583470617</v>
      </c>
      <c r="Q49" s="113">
        <v>0.3</v>
      </c>
      <c r="R49" s="113">
        <f t="shared" si="22"/>
        <v>0.60463855449999993</v>
      </c>
    </row>
    <row r="50" spans="1:18">
      <c r="A50">
        <v>74.1811486</v>
      </c>
      <c r="B50">
        <v>27.121148600000001</v>
      </c>
      <c r="C50">
        <v>47.06</v>
      </c>
      <c r="D50">
        <v>0.2</v>
      </c>
      <c r="E50">
        <f t="shared" si="15"/>
        <v>0.7423821984904958</v>
      </c>
      <c r="F50">
        <f t="shared" si="16"/>
        <v>41236.091299556516</v>
      </c>
      <c r="G50">
        <f t="shared" si="17"/>
        <v>10661</v>
      </c>
      <c r="H50">
        <f t="shared" si="10"/>
        <v>550.37995538393091</v>
      </c>
      <c r="I50">
        <f t="shared" si="18"/>
        <v>70.314910251665793</v>
      </c>
      <c r="J50">
        <f t="shared" si="19"/>
        <v>23.254910251665791</v>
      </c>
      <c r="K50">
        <f t="shared" si="20"/>
        <v>0.7019561267116009</v>
      </c>
      <c r="L50" t="b">
        <f t="shared" si="21"/>
        <v>0</v>
      </c>
      <c r="N50" s="103">
        <v>0.1</v>
      </c>
      <c r="O50" s="105">
        <v>0.68975515216689487</v>
      </c>
      <c r="Q50" s="113">
        <v>0.35</v>
      </c>
      <c r="R50" s="113">
        <f t="shared" si="22"/>
        <v>0.57847891574999999</v>
      </c>
    </row>
    <row r="51" spans="1:18">
      <c r="A51">
        <v>74.1811486</v>
      </c>
      <c r="B51">
        <v>27.121148600000001</v>
      </c>
      <c r="C51">
        <v>47.06</v>
      </c>
      <c r="D51">
        <v>0.2</v>
      </c>
      <c r="E51">
        <f t="shared" si="15"/>
        <v>0.7019561267116009</v>
      </c>
      <c r="F51">
        <f t="shared" si="16"/>
        <v>42707.883294810745</v>
      </c>
      <c r="G51">
        <f t="shared" si="17"/>
        <v>10661</v>
      </c>
      <c r="H51">
        <f t="shared" si="10"/>
        <v>550.37995538393091</v>
      </c>
      <c r="I51">
        <f t="shared" si="18"/>
        <v>67.085612690858099</v>
      </c>
      <c r="J51">
        <f t="shared" si="19"/>
        <v>20.025612690858097</v>
      </c>
      <c r="K51">
        <f t="shared" si="20"/>
        <v>0.72611876949898868</v>
      </c>
      <c r="L51" t="b">
        <f t="shared" si="21"/>
        <v>0</v>
      </c>
      <c r="N51" s="103">
        <v>0.1</v>
      </c>
      <c r="O51" s="105">
        <v>0.6963744986910424</v>
      </c>
      <c r="Q51" s="113">
        <v>0.4</v>
      </c>
      <c r="R51" s="113">
        <f t="shared" si="22"/>
        <v>0.55231927699999994</v>
      </c>
    </row>
    <row r="52" spans="1:18">
      <c r="A52">
        <v>74.1811486</v>
      </c>
      <c r="B52">
        <v>27.121148600000001</v>
      </c>
      <c r="C52">
        <v>47.06</v>
      </c>
      <c r="D52">
        <v>0.2</v>
      </c>
      <c r="E52">
        <f t="shared" si="15"/>
        <v>0.72611876949898868</v>
      </c>
      <c r="F52">
        <f t="shared" si="16"/>
        <v>41828.193958850316</v>
      </c>
      <c r="G52">
        <f t="shared" si="17"/>
        <v>10661</v>
      </c>
      <c r="H52">
        <f t="shared" si="10"/>
        <v>550.37995538393091</v>
      </c>
      <c r="I52">
        <f t="shared" si="18"/>
        <v>68.979093963456322</v>
      </c>
      <c r="J52">
        <f t="shared" si="19"/>
        <v>21.919093963456319</v>
      </c>
      <c r="K52">
        <f t="shared" si="20"/>
        <v>0.71167677004714724</v>
      </c>
      <c r="L52" t="b">
        <f t="shared" si="21"/>
        <v>0</v>
      </c>
      <c r="N52" s="103">
        <v>0.1</v>
      </c>
      <c r="O52" s="105">
        <v>0.69174157546632087</v>
      </c>
      <c r="Q52" s="113">
        <v>0.45</v>
      </c>
      <c r="R52" s="113">
        <f t="shared" si="22"/>
        <v>0.52615963825000001</v>
      </c>
    </row>
    <row r="53" spans="1:18">
      <c r="A53">
        <v>74.1811486</v>
      </c>
      <c r="B53">
        <v>27.121148600000001</v>
      </c>
      <c r="C53">
        <v>47.06</v>
      </c>
      <c r="D53">
        <v>0.2</v>
      </c>
      <c r="E53">
        <f t="shared" si="15"/>
        <v>0.71167677004714724</v>
      </c>
      <c r="F53">
        <f t="shared" si="16"/>
        <v>42353.983832893515</v>
      </c>
      <c r="G53">
        <f t="shared" si="17"/>
        <v>10661</v>
      </c>
      <c r="H53">
        <f t="shared" si="10"/>
        <v>550.37995538393091</v>
      </c>
      <c r="I53">
        <f t="shared" si="18"/>
        <v>67.834723672609243</v>
      </c>
      <c r="J53">
        <f t="shared" si="19"/>
        <v>20.774723672609241</v>
      </c>
      <c r="K53">
        <f t="shared" si="20"/>
        <v>0.720308745862138</v>
      </c>
      <c r="L53" t="b">
        <f t="shared" si="21"/>
        <v>1</v>
      </c>
      <c r="N53" s="103">
        <v>0.5</v>
      </c>
      <c r="O53" s="105">
        <v>0.79535483747476166</v>
      </c>
      <c r="Q53" s="113">
        <v>0.5</v>
      </c>
      <c r="R53" s="113">
        <f t="shared" si="22"/>
        <v>0.49999999949999996</v>
      </c>
    </row>
    <row r="54" spans="1:18">
      <c r="A54">
        <v>74.1811486</v>
      </c>
      <c r="B54">
        <v>27.121148600000001</v>
      </c>
      <c r="C54">
        <v>47.06</v>
      </c>
      <c r="D54">
        <v>0.2</v>
      </c>
      <c r="E54">
        <f t="shared" si="15"/>
        <v>0.720308745862138</v>
      </c>
      <c r="F54">
        <f t="shared" si="16"/>
        <v>42039.719489397146</v>
      </c>
      <c r="G54">
        <f t="shared" si="17"/>
        <v>10661</v>
      </c>
      <c r="H54">
        <f t="shared" si="10"/>
        <v>550.37995538393091</v>
      </c>
      <c r="I54">
        <f t="shared" si="18"/>
        <v>68.514102412345053</v>
      </c>
      <c r="J54">
        <f t="shared" si="19"/>
        <v>21.454102412345051</v>
      </c>
      <c r="K54">
        <f t="shared" si="20"/>
        <v>0.71514941825524747</v>
      </c>
      <c r="L54" t="b">
        <f t="shared" si="21"/>
        <v>1</v>
      </c>
      <c r="N54" s="103">
        <v>0.5</v>
      </c>
      <c r="O54" s="105">
        <v>0.79694633217400102</v>
      </c>
      <c r="Q54" s="113">
        <v>0.55000000000000004</v>
      </c>
      <c r="R54" s="113">
        <f t="shared" si="22"/>
        <v>0.47384036074999991</v>
      </c>
    </row>
    <row r="55" spans="1:18">
      <c r="A55">
        <v>74.1811486</v>
      </c>
      <c r="B55">
        <v>27.121148600000001</v>
      </c>
      <c r="C55">
        <v>47.06</v>
      </c>
      <c r="D55">
        <v>0.2</v>
      </c>
      <c r="E55">
        <f t="shared" si="15"/>
        <v>0.71514941825524747</v>
      </c>
      <c r="F55">
        <f t="shared" si="16"/>
        <v>42227.555129581204</v>
      </c>
      <c r="G55">
        <f t="shared" si="17"/>
        <v>10661</v>
      </c>
      <c r="H55">
        <f t="shared" si="10"/>
        <v>550.37995538393091</v>
      </c>
      <c r="I55">
        <f t="shared" si="18"/>
        <v>68.106411733541819</v>
      </c>
      <c r="J55">
        <f t="shared" si="19"/>
        <v>21.046411733541817</v>
      </c>
      <c r="K55">
        <f t="shared" si="20"/>
        <v>0.71823314577322706</v>
      </c>
      <c r="L55" t="b">
        <f t="shared" si="21"/>
        <v>1</v>
      </c>
      <c r="N55" s="103">
        <v>0.5</v>
      </c>
      <c r="O55" s="105">
        <v>0.79642582025562114</v>
      </c>
      <c r="Q55" s="113">
        <v>0.6</v>
      </c>
      <c r="R55" s="113">
        <f t="shared" si="22"/>
        <v>0.44768072199999998</v>
      </c>
    </row>
    <row r="56" spans="1:18">
      <c r="A56">
        <v>74.1811486</v>
      </c>
      <c r="B56">
        <v>27.121148600000001</v>
      </c>
      <c r="C56">
        <v>47.06</v>
      </c>
      <c r="D56">
        <v>0.2</v>
      </c>
      <c r="E56">
        <f t="shared" si="15"/>
        <v>0.71823314577322706</v>
      </c>
      <c r="F56">
        <f t="shared" si="16"/>
        <v>42115.285861834127</v>
      </c>
      <c r="G56">
        <f t="shared" si="17"/>
        <v>10661</v>
      </c>
      <c r="H56">
        <f t="shared" si="10"/>
        <v>550.37995538393091</v>
      </c>
      <c r="I56">
        <f t="shared" si="18"/>
        <v>68.349502834315572</v>
      </c>
      <c r="J56">
        <f t="shared" si="19"/>
        <v>21.28950283431557</v>
      </c>
      <c r="K56">
        <f t="shared" si="20"/>
        <v>0.71639000338536163</v>
      </c>
      <c r="L56" t="b">
        <f t="shared" si="21"/>
        <v>1</v>
      </c>
      <c r="N56" s="103">
        <v>0.5</v>
      </c>
      <c r="O56" s="105">
        <v>0.79659605811899892</v>
      </c>
      <c r="Q56" s="113">
        <v>0.65</v>
      </c>
      <c r="R56" s="113">
        <f t="shared" si="22"/>
        <v>0.42152108324999993</v>
      </c>
    </row>
    <row r="57" spans="1:18">
      <c r="A57">
        <v>74.1811486</v>
      </c>
      <c r="B57">
        <v>27.121148600000001</v>
      </c>
      <c r="C57">
        <v>47.06</v>
      </c>
      <c r="D57">
        <v>0.2</v>
      </c>
      <c r="E57">
        <f t="shared" si="15"/>
        <v>0.71639000338536163</v>
      </c>
      <c r="F57">
        <f t="shared" si="16"/>
        <v>42182.389146749134</v>
      </c>
      <c r="G57">
        <f t="shared" si="17"/>
        <v>10661</v>
      </c>
      <c r="H57">
        <f t="shared" si="10"/>
        <v>550.37995538393091</v>
      </c>
      <c r="I57">
        <f t="shared" si="18"/>
        <v>68.20399921640275</v>
      </c>
      <c r="J57">
        <f t="shared" si="19"/>
        <v>21.143999216402747</v>
      </c>
      <c r="K57">
        <f t="shared" si="20"/>
        <v>0.71749164866437498</v>
      </c>
      <c r="L57" t="b">
        <f t="shared" si="21"/>
        <v>1</v>
      </c>
      <c r="N57" s="103">
        <v>0</v>
      </c>
      <c r="O57" s="105">
        <v>0.67575628318198666</v>
      </c>
      <c r="Q57" s="113">
        <v>0.7</v>
      </c>
      <c r="R57" s="113">
        <f t="shared" si="22"/>
        <v>0.39536144449999999</v>
      </c>
    </row>
    <row r="58" spans="1:18">
      <c r="A58">
        <v>74.1811486</v>
      </c>
      <c r="B58">
        <v>27.121148600000001</v>
      </c>
      <c r="C58">
        <v>47.06</v>
      </c>
      <c r="D58">
        <v>0.2</v>
      </c>
      <c r="E58">
        <f t="shared" si="15"/>
        <v>0.71749164866437498</v>
      </c>
      <c r="F58">
        <f t="shared" si="16"/>
        <v>42142.281547076098</v>
      </c>
      <c r="G58">
        <f t="shared" si="17"/>
        <v>10661</v>
      </c>
      <c r="H58">
        <f t="shared" si="10"/>
        <v>550.37995538393091</v>
      </c>
      <c r="I58">
        <f t="shared" si="18"/>
        <v>68.290892079788279</v>
      </c>
      <c r="J58">
        <f t="shared" si="19"/>
        <v>21.230892079788276</v>
      </c>
      <c r="K58">
        <f t="shared" si="20"/>
        <v>0.71683319583470617</v>
      </c>
      <c r="L58" t="b">
        <f t="shared" si="21"/>
        <v>1</v>
      </c>
      <c r="N58" s="103">
        <v>0</v>
      </c>
      <c r="O58" s="105">
        <v>0.6681182392044418</v>
      </c>
      <c r="Q58" s="113">
        <v>0.75</v>
      </c>
      <c r="R58" s="113">
        <f t="shared" si="22"/>
        <v>0.36920180574999995</v>
      </c>
    </row>
    <row r="59" spans="1:18">
      <c r="A59">
        <v>74.1811486</v>
      </c>
      <c r="B59">
        <v>27.121148600000001</v>
      </c>
      <c r="C59">
        <v>47.06</v>
      </c>
      <c r="D59">
        <v>0.1</v>
      </c>
      <c r="E59">
        <f t="shared" si="15"/>
        <v>0.71683319583470617</v>
      </c>
      <c r="F59">
        <f t="shared" si="16"/>
        <v>42166.253839245852</v>
      </c>
      <c r="G59">
        <f t="shared" si="17"/>
        <v>12130.5</v>
      </c>
      <c r="H59">
        <f t="shared" si="10"/>
        <v>550.37995538393091</v>
      </c>
      <c r="I59">
        <f t="shared" si="18"/>
        <v>69.275109318083551</v>
      </c>
      <c r="J59">
        <f t="shared" si="19"/>
        <v>22.215109318083549</v>
      </c>
      <c r="K59">
        <f t="shared" si="20"/>
        <v>0.67742240169310208</v>
      </c>
      <c r="L59" t="b">
        <f t="shared" si="21"/>
        <v>0</v>
      </c>
      <c r="N59" s="106">
        <v>0</v>
      </c>
      <c r="O59" s="107">
        <v>0.67429849211064163</v>
      </c>
      <c r="Q59" s="113">
        <v>0.8</v>
      </c>
      <c r="R59" s="113">
        <f t="shared" si="22"/>
        <v>0.3430421669999999</v>
      </c>
    </row>
    <row r="60" spans="1:18">
      <c r="A60">
        <v>74.1811486</v>
      </c>
      <c r="B60">
        <v>27.121148600000001</v>
      </c>
      <c r="C60">
        <v>47.06</v>
      </c>
      <c r="D60">
        <v>0.1</v>
      </c>
      <c r="E60">
        <f t="shared" si="15"/>
        <v>0.67742240169310208</v>
      </c>
      <c r="F60">
        <f t="shared" si="16"/>
        <v>43601.082621559231</v>
      </c>
      <c r="G60">
        <f t="shared" si="17"/>
        <v>12130.5</v>
      </c>
      <c r="H60">
        <f t="shared" si="10"/>
        <v>550.37995538393091</v>
      </c>
      <c r="I60">
        <f t="shared" si="18"/>
        <v>66.116670151488691</v>
      </c>
      <c r="J60">
        <f t="shared" si="19"/>
        <v>19.056670151488689</v>
      </c>
      <c r="K60">
        <f t="shared" si="20"/>
        <v>0.70500627010326422</v>
      </c>
      <c r="L60" t="b">
        <f t="shared" si="21"/>
        <v>0</v>
      </c>
      <c r="Q60" s="113">
        <v>0.85</v>
      </c>
      <c r="R60" s="113">
        <f t="shared" si="22"/>
        <v>0.31688252824999996</v>
      </c>
    </row>
    <row r="61" spans="1:18">
      <c r="A61">
        <v>74.1811486</v>
      </c>
      <c r="B61">
        <v>27.121148600000001</v>
      </c>
      <c r="C61">
        <v>47.06</v>
      </c>
      <c r="D61">
        <v>0.1</v>
      </c>
      <c r="E61">
        <f t="shared" si="15"/>
        <v>0.70500627010326422</v>
      </c>
      <c r="F61">
        <f t="shared" si="16"/>
        <v>42596.836724350462</v>
      </c>
      <c r="G61">
        <f t="shared" si="17"/>
        <v>12130.5</v>
      </c>
      <c r="H61">
        <f t="shared" si="10"/>
        <v>550.37995538393091</v>
      </c>
      <c r="I61">
        <f t="shared" si="18"/>
        <v>68.296039313507748</v>
      </c>
      <c r="J61">
        <f t="shared" si="19"/>
        <v>21.236039313507746</v>
      </c>
      <c r="K61">
        <f t="shared" si="20"/>
        <v>0.68570014311340177</v>
      </c>
      <c r="L61" t="b">
        <f t="shared" si="21"/>
        <v>0</v>
      </c>
      <c r="Q61" s="113">
        <v>0.9</v>
      </c>
      <c r="R61" s="113">
        <f t="shared" si="22"/>
        <v>0.29072288949999991</v>
      </c>
    </row>
    <row r="62" spans="1:18">
      <c r="A62">
        <v>74.1811486</v>
      </c>
      <c r="B62">
        <v>27.121148600000001</v>
      </c>
      <c r="C62">
        <v>47.06</v>
      </c>
      <c r="D62">
        <v>0.1</v>
      </c>
      <c r="E62">
        <f t="shared" si="15"/>
        <v>0.68570014311340177</v>
      </c>
      <c r="F62">
        <f t="shared" si="16"/>
        <v>43299.71488967038</v>
      </c>
      <c r="G62">
        <f t="shared" si="17"/>
        <v>12130.5</v>
      </c>
      <c r="H62">
        <f t="shared" si="10"/>
        <v>550.37995538393091</v>
      </c>
      <c r="I62">
        <f t="shared" si="18"/>
        <v>66.755936523584609</v>
      </c>
      <c r="J62">
        <f t="shared" si="19"/>
        <v>19.695936523584606</v>
      </c>
      <c r="K62">
        <f t="shared" si="20"/>
        <v>0.69921262561971254</v>
      </c>
      <c r="L62" t="b">
        <f t="shared" si="21"/>
        <v>0</v>
      </c>
      <c r="Q62" s="113">
        <v>0.95</v>
      </c>
      <c r="R62" s="113">
        <f t="shared" si="22"/>
        <v>0.26456325074999998</v>
      </c>
    </row>
    <row r="63" spans="1:18">
      <c r="A63">
        <v>74.1811486</v>
      </c>
      <c r="B63">
        <v>27.121148600000001</v>
      </c>
      <c r="C63">
        <v>47.06</v>
      </c>
      <c r="D63">
        <v>0.1</v>
      </c>
      <c r="E63">
        <f t="shared" si="15"/>
        <v>0.69921262561971254</v>
      </c>
      <c r="F63">
        <f t="shared" si="16"/>
        <v>42807.765939063131</v>
      </c>
      <c r="G63">
        <f t="shared" si="17"/>
        <v>12130.5</v>
      </c>
      <c r="H63">
        <f t="shared" si="10"/>
        <v>550.37995538393091</v>
      </c>
      <c r="I63">
        <f t="shared" si="18"/>
        <v>67.826452813556969</v>
      </c>
      <c r="J63">
        <f t="shared" si="19"/>
        <v>20.766452813556967</v>
      </c>
      <c r="K63">
        <f t="shared" si="20"/>
        <v>0.68975515216689487</v>
      </c>
      <c r="L63" t="b">
        <f t="shared" si="21"/>
        <v>1</v>
      </c>
      <c r="Q63" s="113">
        <v>1</v>
      </c>
      <c r="R63" s="113">
        <f t="shared" si="22"/>
        <v>0.23840361199999993</v>
      </c>
    </row>
    <row r="64" spans="1:18">
      <c r="A64">
        <v>74.1811486</v>
      </c>
      <c r="B64">
        <v>27.121148600000001</v>
      </c>
      <c r="C64">
        <v>47.06</v>
      </c>
      <c r="D64">
        <v>0.1</v>
      </c>
      <c r="E64">
        <f t="shared" si="15"/>
        <v>0.68975515216689487</v>
      </c>
      <c r="F64">
        <f t="shared" si="16"/>
        <v>43152.084175059863</v>
      </c>
      <c r="G64">
        <f t="shared" si="17"/>
        <v>12130.5</v>
      </c>
      <c r="H64">
        <f t="shared" si="10"/>
        <v>550.37995538393091</v>
      </c>
      <c r="I64">
        <f t="shared" si="18"/>
        <v>67.073625863943775</v>
      </c>
      <c r="J64">
        <f t="shared" si="19"/>
        <v>20.013625863943773</v>
      </c>
      <c r="K64">
        <f t="shared" si="20"/>
        <v>0.6963744986910424</v>
      </c>
      <c r="L64" t="b">
        <f t="shared" si="21"/>
        <v>1</v>
      </c>
    </row>
    <row r="65" spans="1:12">
      <c r="A65">
        <v>74.1811486</v>
      </c>
      <c r="B65">
        <v>27.121148600000001</v>
      </c>
      <c r="C65">
        <v>47.06</v>
      </c>
      <c r="D65">
        <v>0.1</v>
      </c>
      <c r="E65">
        <f t="shared" si="15"/>
        <v>0.6963744986910424</v>
      </c>
      <c r="F65">
        <f t="shared" si="16"/>
        <v>42911.09362615522</v>
      </c>
      <c r="G65">
        <f t="shared" si="17"/>
        <v>12130.5</v>
      </c>
      <c r="H65">
        <f t="shared" si="10"/>
        <v>550.37995538393091</v>
      </c>
      <c r="I65">
        <f t="shared" si="18"/>
        <v>67.598765505832986</v>
      </c>
      <c r="J65">
        <f t="shared" si="19"/>
        <v>20.538765505832984</v>
      </c>
      <c r="K65">
        <f t="shared" si="20"/>
        <v>0.69174157546632087</v>
      </c>
      <c r="L65" t="b">
        <f t="shared" si="21"/>
        <v>1</v>
      </c>
    </row>
    <row r="66" spans="1:12">
      <c r="A66">
        <v>74.1811486</v>
      </c>
      <c r="B66">
        <v>27.121148600000001</v>
      </c>
      <c r="C66">
        <v>47.06</v>
      </c>
      <c r="D66">
        <v>0.5</v>
      </c>
      <c r="E66">
        <f t="shared" si="15"/>
        <v>0.69174157546632087</v>
      </c>
      <c r="F66">
        <f t="shared" si="16"/>
        <v>43079.764461997656</v>
      </c>
      <c r="G66">
        <f t="shared" si="17"/>
        <v>6252.5</v>
      </c>
      <c r="H66">
        <f t="shared" si="10"/>
        <v>550.37995538393091</v>
      </c>
      <c r="I66">
        <f t="shared" si="18"/>
        <v>64.010967013240176</v>
      </c>
      <c r="J66">
        <f t="shared" si="19"/>
        <v>16.950967013240174</v>
      </c>
      <c r="K66">
        <f t="shared" si="20"/>
        <v>0.8308339334354955</v>
      </c>
      <c r="L66" t="b">
        <f t="shared" si="21"/>
        <v>0</v>
      </c>
    </row>
    <row r="67" spans="1:12">
      <c r="A67">
        <v>74.1811486</v>
      </c>
      <c r="B67">
        <v>27.121148600000001</v>
      </c>
      <c r="C67">
        <v>47.06</v>
      </c>
      <c r="D67">
        <v>0.5</v>
      </c>
      <c r="E67">
        <f t="shared" si="15"/>
        <v>0.8308339334354955</v>
      </c>
      <c r="F67">
        <f t="shared" si="16"/>
        <v>38015.828985413915</v>
      </c>
      <c r="G67">
        <f t="shared" si="17"/>
        <v>6252.5</v>
      </c>
      <c r="H67">
        <f t="shared" si="10"/>
        <v>550.37995538393091</v>
      </c>
      <c r="I67">
        <f t="shared" si="18"/>
        <v>74.216049953307035</v>
      </c>
      <c r="J67">
        <f t="shared" si="19"/>
        <v>27.156049953307033</v>
      </c>
      <c r="K67">
        <f t="shared" si="20"/>
        <v>0.78534259116893845</v>
      </c>
      <c r="L67" t="b">
        <f t="shared" si="21"/>
        <v>0</v>
      </c>
    </row>
    <row r="68" spans="1:12">
      <c r="A68">
        <v>74.1811486</v>
      </c>
      <c r="B68">
        <v>27.121148600000001</v>
      </c>
      <c r="C68">
        <v>47.06</v>
      </c>
      <c r="D68">
        <v>0.5</v>
      </c>
      <c r="E68">
        <f t="shared" si="15"/>
        <v>0.78534259116893845</v>
      </c>
      <c r="F68">
        <f t="shared" si="16"/>
        <v>39672.032283312459</v>
      </c>
      <c r="G68">
        <f t="shared" si="17"/>
        <v>6252.5</v>
      </c>
      <c r="H68">
        <f t="shared" si="10"/>
        <v>550.37995538393091</v>
      </c>
      <c r="I68">
        <f t="shared" si="18"/>
        <v>70.538055131367315</v>
      </c>
      <c r="J68">
        <f t="shared" si="19"/>
        <v>23.478055131367313</v>
      </c>
      <c r="K68">
        <f t="shared" si="20"/>
        <v>0.8002209227424939</v>
      </c>
      <c r="L68" t="b">
        <f t="shared" si="21"/>
        <v>0</v>
      </c>
    </row>
    <row r="69" spans="1:12">
      <c r="A69">
        <v>74.1811486</v>
      </c>
      <c r="B69">
        <v>27.121148600000001</v>
      </c>
      <c r="C69">
        <v>47.06</v>
      </c>
      <c r="D69">
        <v>0.5</v>
      </c>
      <c r="E69">
        <f t="shared" si="15"/>
        <v>0.8002209227424939</v>
      </c>
      <c r="F69">
        <f t="shared" si="16"/>
        <v>39130.356865714028</v>
      </c>
      <c r="G69">
        <f t="shared" si="17"/>
        <v>6252.5</v>
      </c>
      <c r="H69">
        <f t="shared" si="10"/>
        <v>550.37995538393091</v>
      </c>
      <c r="I69">
        <f t="shared" si="18"/>
        <v>71.700196892185971</v>
      </c>
      <c r="J69">
        <f t="shared" si="19"/>
        <v>24.640196892185969</v>
      </c>
      <c r="K69">
        <f t="shared" si="20"/>
        <v>0.79535483747476166</v>
      </c>
      <c r="L69" t="b">
        <f t="shared" si="21"/>
        <v>1</v>
      </c>
    </row>
    <row r="70" spans="1:12">
      <c r="A70">
        <v>74.1811486</v>
      </c>
      <c r="B70">
        <v>27.121148600000001</v>
      </c>
      <c r="C70">
        <v>47.06</v>
      </c>
      <c r="D70">
        <v>0.5</v>
      </c>
      <c r="E70">
        <f t="shared" si="15"/>
        <v>0.79535483747476166</v>
      </c>
      <c r="F70">
        <f t="shared" si="16"/>
        <v>39307.516432056349</v>
      </c>
      <c r="G70">
        <f t="shared" si="17"/>
        <v>6252.5</v>
      </c>
      <c r="H70">
        <f t="shared" si="10"/>
        <v>550.37995538393091</v>
      </c>
      <c r="I70">
        <f t="shared" si="18"/>
        <v>71.315917071475909</v>
      </c>
      <c r="J70">
        <f t="shared" si="19"/>
        <v>24.255917071475906</v>
      </c>
      <c r="K70">
        <f t="shared" si="20"/>
        <v>0.79694633217400102</v>
      </c>
      <c r="L70" t="b">
        <f t="shared" si="21"/>
        <v>1</v>
      </c>
    </row>
    <row r="71" spans="1:12">
      <c r="A71">
        <v>74.1811486</v>
      </c>
      <c r="B71">
        <v>27.121148600000001</v>
      </c>
      <c r="C71">
        <v>47.06</v>
      </c>
      <c r="D71">
        <v>0.5</v>
      </c>
      <c r="E71">
        <f t="shared" si="15"/>
        <v>0.79694633217400102</v>
      </c>
      <c r="F71">
        <f t="shared" si="16"/>
        <v>39249.574884541144</v>
      </c>
      <c r="G71">
        <f t="shared" si="17"/>
        <v>6252.5</v>
      </c>
      <c r="H71">
        <f t="shared" si="10"/>
        <v>550.37995538393091</v>
      </c>
      <c r="I71">
        <f t="shared" si="18"/>
        <v>71.441144977647781</v>
      </c>
      <c r="J71">
        <f t="shared" si="19"/>
        <v>24.381144977647779</v>
      </c>
      <c r="K71">
        <f t="shared" si="20"/>
        <v>0.79642582025562114</v>
      </c>
      <c r="L71" t="b">
        <f t="shared" si="21"/>
        <v>1</v>
      </c>
    </row>
    <row r="72" spans="1:12">
      <c r="A72">
        <v>74.1811486</v>
      </c>
      <c r="B72">
        <v>27.121148600000001</v>
      </c>
      <c r="C72">
        <v>47.06</v>
      </c>
      <c r="D72">
        <v>0.5</v>
      </c>
      <c r="E72">
        <f t="shared" si="15"/>
        <v>0.79642582025562114</v>
      </c>
      <c r="F72">
        <f t="shared" si="16"/>
        <v>39268.525161953599</v>
      </c>
      <c r="G72">
        <f t="shared" si="17"/>
        <v>6252.5</v>
      </c>
      <c r="H72">
        <f t="shared" si="10"/>
        <v>550.37995538393091</v>
      </c>
      <c r="I72">
        <f t="shared" si="18"/>
        <v>71.400139753386256</v>
      </c>
      <c r="J72">
        <f t="shared" si="19"/>
        <v>24.340139753386254</v>
      </c>
      <c r="K72">
        <f t="shared" si="20"/>
        <v>0.79659605811899892</v>
      </c>
      <c r="L72" t="b">
        <f t="shared" si="21"/>
        <v>1</v>
      </c>
    </row>
    <row r="73" spans="1:12">
      <c r="A73">
        <v>74.1811486</v>
      </c>
      <c r="B73">
        <v>27.121148600000001</v>
      </c>
      <c r="C73">
        <v>47.06</v>
      </c>
      <c r="D73">
        <v>0</v>
      </c>
      <c r="E73">
        <f t="shared" si="15"/>
        <v>0.79659605811899892</v>
      </c>
      <c r="F73">
        <f t="shared" si="16"/>
        <v>39262.327312061607</v>
      </c>
      <c r="G73">
        <f t="shared" si="17"/>
        <v>13600</v>
      </c>
      <c r="H73">
        <f t="shared" si="10"/>
        <v>550.37995538393091</v>
      </c>
      <c r="I73">
        <f t="shared" si="18"/>
        <v>78.386322339491755</v>
      </c>
      <c r="J73">
        <f t="shared" si="19"/>
        <v>31.326322339491753</v>
      </c>
      <c r="K73">
        <f t="shared" si="20"/>
        <v>0.57034184875230709</v>
      </c>
      <c r="L73" t="b">
        <f t="shared" si="21"/>
        <v>0</v>
      </c>
    </row>
    <row r="74" spans="1:12">
      <c r="A74">
        <v>74.1811486</v>
      </c>
      <c r="B74">
        <v>27.121148600000001</v>
      </c>
      <c r="C74">
        <v>47.06</v>
      </c>
      <c r="D74">
        <v>0</v>
      </c>
      <c r="E74">
        <f t="shared" si="15"/>
        <v>0.57034184875230709</v>
      </c>
      <c r="F74">
        <f t="shared" si="16"/>
        <v>47499.564312474758</v>
      </c>
      <c r="G74">
        <f t="shared" si="17"/>
        <v>13600</v>
      </c>
      <c r="H74">
        <f t="shared" si="10"/>
        <v>550.37995538393091</v>
      </c>
      <c r="I74">
        <f t="shared" si="18"/>
        <v>59.339271800745856</v>
      </c>
      <c r="J74">
        <f t="shared" si="19"/>
        <v>12.279271800745853</v>
      </c>
      <c r="K74">
        <f t="shared" si="20"/>
        <v>0.75341335751676786</v>
      </c>
      <c r="L74" t="b">
        <f t="shared" si="21"/>
        <v>0</v>
      </c>
    </row>
    <row r="75" spans="1:12">
      <c r="A75">
        <v>74.1811486</v>
      </c>
      <c r="B75">
        <v>27.121148600000001</v>
      </c>
      <c r="C75">
        <v>47.06</v>
      </c>
      <c r="D75">
        <v>0</v>
      </c>
      <c r="E75">
        <f t="shared" si="15"/>
        <v>0.75341335751676786</v>
      </c>
      <c r="F75">
        <f t="shared" si="16"/>
        <v>40834.47989288703</v>
      </c>
      <c r="G75">
        <f t="shared" si="17"/>
        <v>13600</v>
      </c>
      <c r="H75">
        <f t="shared" si="10"/>
        <v>550.37995538393091</v>
      </c>
      <c r="I75">
        <f t="shared" si="18"/>
        <v>73.861350338846663</v>
      </c>
      <c r="J75">
        <f t="shared" si="19"/>
        <v>26.80135033884666</v>
      </c>
      <c r="K75">
        <f t="shared" si="20"/>
        <v>0.60528273305188662</v>
      </c>
      <c r="L75" t="b">
        <f t="shared" si="21"/>
        <v>0</v>
      </c>
    </row>
    <row r="76" spans="1:12">
      <c r="A76">
        <v>74.1811486</v>
      </c>
      <c r="B76">
        <v>27.121148600000001</v>
      </c>
      <c r="C76">
        <v>47.06</v>
      </c>
      <c r="D76">
        <v>0</v>
      </c>
      <c r="E76">
        <f t="shared" si="15"/>
        <v>0.60528273305188662</v>
      </c>
      <c r="F76">
        <f t="shared" si="16"/>
        <v>46227.471537779958</v>
      </c>
      <c r="G76">
        <f t="shared" si="17"/>
        <v>13600</v>
      </c>
      <c r="H76">
        <f t="shared" si="10"/>
        <v>550.37995538393091</v>
      </c>
      <c r="I76">
        <f t="shared" si="18"/>
        <v>61.65281481697297</v>
      </c>
      <c r="J76">
        <f t="shared" si="19"/>
        <v>14.592814816972968</v>
      </c>
      <c r="K76">
        <f t="shared" si="20"/>
        <v>0.72514126293698755</v>
      </c>
      <c r="L76" t="b">
        <f t="shared" si="21"/>
        <v>0</v>
      </c>
    </row>
    <row r="77" spans="1:12">
      <c r="A77">
        <v>74.1811486</v>
      </c>
      <c r="B77">
        <v>27.121148600000001</v>
      </c>
      <c r="C77">
        <v>47.06</v>
      </c>
      <c r="D77">
        <v>0</v>
      </c>
      <c r="E77">
        <f t="shared" si="15"/>
        <v>0.72514126293698755</v>
      </c>
      <c r="F77">
        <f t="shared" si="16"/>
        <v>41863.782040253092</v>
      </c>
      <c r="G77">
        <f t="shared" si="17"/>
        <v>13600</v>
      </c>
      <c r="H77">
        <f t="shared" si="10"/>
        <v>550.37995538393091</v>
      </c>
      <c r="I77">
        <f t="shared" si="18"/>
        <v>71.171489286180162</v>
      </c>
      <c r="J77">
        <f t="shared" si="19"/>
        <v>24.111489286180159</v>
      </c>
      <c r="K77">
        <f t="shared" si="20"/>
        <v>0.62815883787724891</v>
      </c>
      <c r="L77" t="b">
        <f t="shared" si="21"/>
        <v>0</v>
      </c>
    </row>
    <row r="78" spans="1:12">
      <c r="A78">
        <v>74.1811486</v>
      </c>
      <c r="B78">
        <v>27.121148600000001</v>
      </c>
      <c r="C78">
        <v>47.06</v>
      </c>
      <c r="D78">
        <v>0</v>
      </c>
      <c r="E78">
        <f t="shared" si="15"/>
        <v>0.62815883787724891</v>
      </c>
      <c r="F78">
        <f t="shared" si="16"/>
        <v>45394.621189402998</v>
      </c>
      <c r="G78">
        <f t="shared" si="17"/>
        <v>13600</v>
      </c>
      <c r="H78">
        <f t="shared" si="10"/>
        <v>550.37995538393091</v>
      </c>
      <c r="I78">
        <f t="shared" si="18"/>
        <v>63.267791387785209</v>
      </c>
      <c r="J78">
        <f t="shared" si="19"/>
        <v>16.207791387785207</v>
      </c>
      <c r="K78">
        <f t="shared" si="20"/>
        <v>0.7066312735018494</v>
      </c>
      <c r="L78" t="b">
        <f t="shared" si="21"/>
        <v>0</v>
      </c>
    </row>
    <row r="79" spans="1:12">
      <c r="A79">
        <v>74.1811486</v>
      </c>
      <c r="B79">
        <v>27.121148600000001</v>
      </c>
      <c r="C79">
        <v>47.06</v>
      </c>
      <c r="D79">
        <v>0</v>
      </c>
      <c r="E79">
        <f t="shared" si="15"/>
        <v>0.7066312735018494</v>
      </c>
      <c r="F79">
        <f t="shared" si="16"/>
        <v>42537.675225618164</v>
      </c>
      <c r="G79">
        <f t="shared" si="17"/>
        <v>13600</v>
      </c>
      <c r="H79">
        <f t="shared" si="10"/>
        <v>550.37995538393091</v>
      </c>
      <c r="I79">
        <f t="shared" si="18"/>
        <v>69.514065832212438</v>
      </c>
      <c r="J79">
        <f t="shared" si="19"/>
        <v>22.454065832212436</v>
      </c>
      <c r="K79">
        <f t="shared" si="20"/>
        <v>0.64313602527451386</v>
      </c>
      <c r="L79" t="b">
        <f t="shared" si="21"/>
        <v>0</v>
      </c>
    </row>
    <row r="80" spans="1:12">
      <c r="A80">
        <v>74.1811486</v>
      </c>
      <c r="B80">
        <v>27.121148600000001</v>
      </c>
      <c r="C80">
        <v>47.06</v>
      </c>
      <c r="D80">
        <v>0</v>
      </c>
      <c r="E80">
        <f t="shared" si="15"/>
        <v>0.64313602527451386</v>
      </c>
      <c r="F80">
        <f t="shared" si="16"/>
        <v>44849.346727830773</v>
      </c>
      <c r="G80">
        <f t="shared" si="17"/>
        <v>13600</v>
      </c>
      <c r="H80">
        <f t="shared" si="10"/>
        <v>550.37995538393091</v>
      </c>
      <c r="I80">
        <f t="shared" si="18"/>
        <v>64.371760414219736</v>
      </c>
      <c r="J80">
        <f t="shared" si="19"/>
        <v>17.311760414219734</v>
      </c>
      <c r="K80">
        <f t="shared" si="20"/>
        <v>0.69451262032169336</v>
      </c>
      <c r="L80" t="b">
        <f t="shared" si="21"/>
        <v>0</v>
      </c>
    </row>
    <row r="81" spans="1:18">
      <c r="A81">
        <v>74.1811486</v>
      </c>
      <c r="B81">
        <v>27.121148600000001</v>
      </c>
      <c r="C81">
        <v>47.06</v>
      </c>
      <c r="D81">
        <v>0</v>
      </c>
      <c r="E81">
        <f t="shared" si="15"/>
        <v>0.69451262032169336</v>
      </c>
      <c r="F81">
        <f t="shared" si="16"/>
        <v>42978.879031948105</v>
      </c>
      <c r="G81">
        <f t="shared" si="17"/>
        <v>13600</v>
      </c>
      <c r="H81">
        <f t="shared" si="10"/>
        <v>550.37995538393091</v>
      </c>
      <c r="I81">
        <f t="shared" si="18"/>
        <v>68.470122991326974</v>
      </c>
      <c r="J81">
        <f t="shared" si="19"/>
        <v>21.410122991326972</v>
      </c>
      <c r="K81">
        <f t="shared" si="20"/>
        <v>0.65294172183191468</v>
      </c>
      <c r="L81" t="b">
        <f t="shared" si="21"/>
        <v>0</v>
      </c>
    </row>
    <row r="82" spans="1:18">
      <c r="A82">
        <v>74.1811486</v>
      </c>
      <c r="B82">
        <v>27.121148600000001</v>
      </c>
      <c r="C82">
        <v>47.06</v>
      </c>
      <c r="D82">
        <v>0</v>
      </c>
      <c r="E82">
        <f t="shared" si="15"/>
        <v>0.65294172183191468</v>
      </c>
      <c r="F82">
        <f t="shared" si="16"/>
        <v>44492.350733265484</v>
      </c>
      <c r="G82">
        <f t="shared" si="17"/>
        <v>13600</v>
      </c>
      <c r="H82">
        <f t="shared" si="10"/>
        <v>550.37995538393091</v>
      </c>
      <c r="I82">
        <f t="shared" si="18"/>
        <v>65.115648790647086</v>
      </c>
      <c r="J82">
        <f t="shared" si="19"/>
        <v>18.055648790647084</v>
      </c>
      <c r="K82">
        <f t="shared" si="20"/>
        <v>0.68657843130362095</v>
      </c>
      <c r="L82" t="b">
        <f t="shared" si="21"/>
        <v>0</v>
      </c>
    </row>
    <row r="83" spans="1:18">
      <c r="A83">
        <v>74.1811486</v>
      </c>
      <c r="B83">
        <v>27.121148600000001</v>
      </c>
      <c r="C83">
        <v>47.06</v>
      </c>
      <c r="D83">
        <v>0</v>
      </c>
      <c r="E83">
        <f t="shared" si="15"/>
        <v>0.68657843130362095</v>
      </c>
      <c r="F83">
        <f t="shared" si="16"/>
        <v>43267.739051529075</v>
      </c>
      <c r="G83">
        <f t="shared" si="17"/>
        <v>13600</v>
      </c>
      <c r="H83">
        <f t="shared" si="10"/>
        <v>550.37995538393091</v>
      </c>
      <c r="I83">
        <f t="shared" si="18"/>
        <v>67.803463458100211</v>
      </c>
      <c r="J83">
        <f t="shared" si="19"/>
        <v>20.743463458100209</v>
      </c>
      <c r="K83">
        <f t="shared" si="20"/>
        <v>0.65936159776892689</v>
      </c>
      <c r="L83" t="b">
        <f t="shared" si="21"/>
        <v>0</v>
      </c>
    </row>
    <row r="84" spans="1:18">
      <c r="A84">
        <v>74.1811486</v>
      </c>
      <c r="B84">
        <v>27.121148600000001</v>
      </c>
      <c r="C84">
        <v>47.06</v>
      </c>
      <c r="D84">
        <v>0</v>
      </c>
      <c r="E84">
        <f t="shared" si="15"/>
        <v>0.65936159776892689</v>
      </c>
      <c r="F84">
        <f t="shared" si="16"/>
        <v>44258.62231002668</v>
      </c>
      <c r="G84">
        <f t="shared" si="17"/>
        <v>13600</v>
      </c>
      <c r="H84">
        <f t="shared" si="10"/>
        <v>550.37995538393091</v>
      </c>
      <c r="I84">
        <f t="shared" si="18"/>
        <v>65.61206307065315</v>
      </c>
      <c r="J84">
        <f t="shared" si="19"/>
        <v>18.552063070653148</v>
      </c>
      <c r="K84">
        <f t="shared" si="20"/>
        <v>0.68138384784301154</v>
      </c>
      <c r="L84" t="b">
        <f t="shared" si="21"/>
        <v>0</v>
      </c>
    </row>
    <row r="85" spans="1:18">
      <c r="A85">
        <v>74.1811486</v>
      </c>
      <c r="B85">
        <v>27.121148600000001</v>
      </c>
      <c r="C85">
        <v>47.06</v>
      </c>
      <c r="D85">
        <v>0</v>
      </c>
      <c r="E85">
        <f t="shared" si="15"/>
        <v>0.68138384784301154</v>
      </c>
      <c r="F85">
        <f t="shared" si="16"/>
        <v>43456.858251579484</v>
      </c>
      <c r="G85">
        <f t="shared" si="17"/>
        <v>13600</v>
      </c>
      <c r="H85">
        <f t="shared" si="10"/>
        <v>550.37995538393091</v>
      </c>
      <c r="I85">
        <f t="shared" si="18"/>
        <v>67.37398301304485</v>
      </c>
      <c r="J85">
        <f t="shared" si="19"/>
        <v>20.313983013044847</v>
      </c>
      <c r="K85">
        <f t="shared" si="20"/>
        <v>0.6635647471123074</v>
      </c>
      <c r="L85" t="b">
        <f t="shared" si="21"/>
        <v>0</v>
      </c>
    </row>
    <row r="86" spans="1:18">
      <c r="A86">
        <v>74.1811486</v>
      </c>
      <c r="B86">
        <v>27.121148600000001</v>
      </c>
      <c r="C86">
        <v>47.06</v>
      </c>
      <c r="D86">
        <v>0</v>
      </c>
      <c r="E86">
        <f t="shared" si="15"/>
        <v>0.6635647471123074</v>
      </c>
      <c r="F86">
        <f t="shared" si="16"/>
        <v>44105.598251882227</v>
      </c>
      <c r="G86">
        <f t="shared" si="17"/>
        <v>13600</v>
      </c>
      <c r="H86">
        <f t="shared" si="10"/>
        <v>550.37995538393091</v>
      </c>
      <c r="I86">
        <f t="shared" si="18"/>
        <v>65.941190336783109</v>
      </c>
      <c r="J86">
        <f t="shared" si="19"/>
        <v>18.881190336783106</v>
      </c>
      <c r="K86">
        <f t="shared" si="20"/>
        <v>0.67798290828034513</v>
      </c>
      <c r="L86" t="b">
        <f t="shared" si="21"/>
        <v>0</v>
      </c>
    </row>
    <row r="87" spans="1:18">
      <c r="A87">
        <v>74.1811486</v>
      </c>
      <c r="B87">
        <v>27.121148600000001</v>
      </c>
      <c r="C87">
        <v>47.06</v>
      </c>
      <c r="D87">
        <v>0</v>
      </c>
      <c r="E87">
        <f t="shared" si="15"/>
        <v>0.67798290828034513</v>
      </c>
      <c r="F87">
        <f t="shared" si="16"/>
        <v>43580.676258237479</v>
      </c>
      <c r="G87">
        <f t="shared" si="17"/>
        <v>13600</v>
      </c>
      <c r="H87">
        <f t="shared" si="10"/>
        <v>550.37995538393091</v>
      </c>
      <c r="I87">
        <f t="shared" si="18"/>
        <v>67.095733376331168</v>
      </c>
      <c r="J87">
        <f t="shared" si="19"/>
        <v>20.035733376331166</v>
      </c>
      <c r="K87">
        <f t="shared" si="20"/>
        <v>0.66631658602260602</v>
      </c>
      <c r="L87" t="b">
        <f t="shared" si="21"/>
        <v>0</v>
      </c>
    </row>
    <row r="88" spans="1:18">
      <c r="A88">
        <v>74.1811486</v>
      </c>
      <c r="B88">
        <v>27.121148600000001</v>
      </c>
      <c r="C88">
        <v>47.06</v>
      </c>
      <c r="D88">
        <v>0</v>
      </c>
      <c r="E88">
        <f t="shared" si="15"/>
        <v>0.66631658602260602</v>
      </c>
      <c r="F88">
        <f t="shared" si="16"/>
        <v>44005.412052674983</v>
      </c>
      <c r="G88">
        <f t="shared" si="17"/>
        <v>13600</v>
      </c>
      <c r="H88">
        <f t="shared" ref="H88:H90" si="23">$K$13</f>
        <v>550.37995538393091</v>
      </c>
      <c r="I88">
        <f t="shared" si="18"/>
        <v>66.158467353769382</v>
      </c>
      <c r="J88">
        <f t="shared" si="19"/>
        <v>19.098467353769379</v>
      </c>
      <c r="K88">
        <f t="shared" si="20"/>
        <v>0.67575628318198666</v>
      </c>
      <c r="L88" t="b">
        <f t="shared" si="21"/>
        <v>1</v>
      </c>
    </row>
    <row r="89" spans="1:18">
      <c r="A89">
        <v>74.1811486</v>
      </c>
      <c r="B89">
        <v>27.121148600000001</v>
      </c>
      <c r="C89">
        <v>47.06</v>
      </c>
      <c r="D89">
        <v>0</v>
      </c>
      <c r="E89">
        <f t="shared" si="15"/>
        <v>0.67575628318198666</v>
      </c>
      <c r="F89">
        <f t="shared" si="16"/>
        <v>43661.740998193411</v>
      </c>
      <c r="G89">
        <f t="shared" si="17"/>
        <v>13600</v>
      </c>
      <c r="H89">
        <f t="shared" si="23"/>
        <v>550.37995538393091</v>
      </c>
      <c r="I89">
        <f t="shared" si="18"/>
        <v>66.914802465555525</v>
      </c>
      <c r="J89">
        <f t="shared" si="19"/>
        <v>19.854802465555522</v>
      </c>
      <c r="K89">
        <f t="shared" si="20"/>
        <v>0.6681182392044418</v>
      </c>
      <c r="L89" t="b">
        <f t="shared" si="21"/>
        <v>1</v>
      </c>
    </row>
    <row r="90" spans="1:18">
      <c r="A90">
        <v>74.1811486</v>
      </c>
      <c r="B90">
        <v>27.121148600000001</v>
      </c>
      <c r="C90">
        <v>47.06</v>
      </c>
      <c r="D90">
        <v>0</v>
      </c>
      <c r="E90">
        <f t="shared" si="15"/>
        <v>0.6681182392044418</v>
      </c>
      <c r="F90">
        <f t="shared" si="16"/>
        <v>43939.819265283892</v>
      </c>
      <c r="G90">
        <f t="shared" si="17"/>
        <v>13600</v>
      </c>
      <c r="H90">
        <f t="shared" si="23"/>
        <v>550.37995538393091</v>
      </c>
      <c r="I90">
        <f t="shared" si="18"/>
        <v>66.30149781302535</v>
      </c>
      <c r="J90">
        <f t="shared" si="19"/>
        <v>19.241497813025347</v>
      </c>
      <c r="K90">
        <f t="shared" si="20"/>
        <v>0.67429849211064163</v>
      </c>
      <c r="L90" t="b">
        <f t="shared" si="21"/>
        <v>1</v>
      </c>
    </row>
    <row r="91" spans="1:18">
      <c r="C91" s="81"/>
      <c r="D91" s="81"/>
    </row>
    <row r="92" spans="1:18" ht="14.7" thickBot="1"/>
    <row r="93" spans="1:18">
      <c r="A93" s="194" t="s">
        <v>139</v>
      </c>
      <c r="B93" s="195"/>
      <c r="C93" s="195"/>
      <c r="D93" s="195"/>
      <c r="E93" s="196"/>
      <c r="F93" s="82"/>
      <c r="G93" s="141" t="s">
        <v>140</v>
      </c>
      <c r="H93" s="142"/>
      <c r="I93" s="141"/>
      <c r="J93" s="142"/>
      <c r="K93" s="181" t="s">
        <v>141</v>
      </c>
      <c r="L93" s="182"/>
      <c r="M93" s="182"/>
      <c r="N93" s="183"/>
      <c r="O93" s="143" t="s">
        <v>173</v>
      </c>
      <c r="P93" s="144"/>
      <c r="Q93" s="144"/>
      <c r="R93" s="145"/>
    </row>
    <row r="94" spans="1:18">
      <c r="A94" s="197"/>
      <c r="B94" s="198"/>
      <c r="C94" s="198"/>
      <c r="D94" s="198"/>
      <c r="E94" s="199"/>
      <c r="F94" s="82"/>
      <c r="G94" s="141" t="s">
        <v>142</v>
      </c>
      <c r="H94" s="184"/>
      <c r="I94" s="184"/>
      <c r="J94" s="142"/>
      <c r="K94" s="141" t="s">
        <v>143</v>
      </c>
      <c r="L94" s="184"/>
      <c r="M94" s="184"/>
      <c r="N94" s="142"/>
      <c r="O94" s="146"/>
      <c r="P94" s="147"/>
      <c r="Q94" s="147"/>
      <c r="R94" s="148"/>
    </row>
    <row r="95" spans="1:18" ht="14.7" thickBot="1">
      <c r="A95" s="200"/>
      <c r="B95" s="201"/>
      <c r="C95" s="201"/>
      <c r="D95" s="201"/>
      <c r="E95" s="202"/>
      <c r="F95" s="82"/>
      <c r="G95" s="141" t="s">
        <v>144</v>
      </c>
      <c r="H95" s="142"/>
      <c r="I95" s="185"/>
      <c r="J95" s="186"/>
      <c r="K95" s="186"/>
      <c r="L95" s="186"/>
      <c r="M95" s="186"/>
      <c r="N95" s="187"/>
      <c r="O95" s="146"/>
      <c r="P95" s="147"/>
      <c r="Q95" s="147"/>
      <c r="R95" s="148"/>
    </row>
    <row r="96" spans="1:18">
      <c r="G96" s="141" t="s">
        <v>145</v>
      </c>
      <c r="H96" s="142"/>
      <c r="I96" s="188"/>
      <c r="J96" s="189"/>
      <c r="K96" s="189"/>
      <c r="L96" s="189"/>
      <c r="M96" s="189"/>
      <c r="N96" s="190"/>
      <c r="O96" s="149"/>
      <c r="P96" s="150"/>
      <c r="Q96" s="150"/>
      <c r="R96" s="151"/>
    </row>
    <row r="97" spans="1:18" ht="15" customHeight="1">
      <c r="G97" s="152" t="s">
        <v>146</v>
      </c>
      <c r="H97" s="153"/>
      <c r="I97" s="154"/>
      <c r="J97" s="155" t="s">
        <v>147</v>
      </c>
      <c r="K97" s="156"/>
      <c r="L97" s="156"/>
      <c r="M97" s="156"/>
      <c r="N97" s="156"/>
      <c r="O97" s="156"/>
      <c r="P97" s="156"/>
      <c r="Q97" s="156"/>
      <c r="R97" s="157"/>
    </row>
    <row r="98" spans="1:18" ht="15" customHeight="1">
      <c r="G98" s="152"/>
      <c r="H98" s="153"/>
      <c r="I98" s="154"/>
      <c r="J98" s="158"/>
      <c r="K98" s="159"/>
      <c r="L98" s="159"/>
      <c r="M98" s="159"/>
      <c r="N98" s="159"/>
      <c r="O98" s="159"/>
      <c r="P98" s="159"/>
      <c r="Q98" s="159"/>
      <c r="R98" s="160"/>
    </row>
    <row r="99" spans="1:18">
      <c r="G99" s="167"/>
      <c r="H99" s="169"/>
      <c r="I99" s="169"/>
      <c r="J99" s="169"/>
      <c r="K99" s="169"/>
      <c r="L99" s="169"/>
      <c r="M99" s="169"/>
      <c r="N99" s="169"/>
      <c r="O99" s="169"/>
      <c r="P99" s="169"/>
      <c r="Q99" s="169"/>
      <c r="R99" s="168"/>
    </row>
    <row r="100" spans="1:18">
      <c r="G100" s="114" t="s">
        <v>148</v>
      </c>
      <c r="H100" s="114">
        <v>0.1</v>
      </c>
      <c r="I100" s="161" t="s">
        <v>149</v>
      </c>
      <c r="J100" s="162"/>
      <c r="K100" s="162"/>
      <c r="L100" s="163"/>
      <c r="M100" s="170" t="s">
        <v>174</v>
      </c>
      <c r="N100" s="167" t="s">
        <v>150</v>
      </c>
      <c r="O100" s="168"/>
      <c r="P100" s="167">
        <v>0.34348428116069102</v>
      </c>
      <c r="Q100" s="168"/>
      <c r="R100" s="170" t="s">
        <v>175</v>
      </c>
    </row>
    <row r="101" spans="1:18">
      <c r="G101" s="114" t="s">
        <v>136</v>
      </c>
      <c r="H101" s="114">
        <f>equilibriumDataXGetY(H100)</f>
        <v>0.59040218899999986</v>
      </c>
      <c r="I101" s="164"/>
      <c r="J101" s="165"/>
      <c r="K101" s="165"/>
      <c r="L101" s="166"/>
      <c r="M101" s="171"/>
      <c r="N101" s="167" t="s">
        <v>151</v>
      </c>
      <c r="O101" s="169"/>
      <c r="P101" s="168"/>
      <c r="Q101" s="115">
        <v>374.48</v>
      </c>
      <c r="R101" s="171"/>
    </row>
    <row r="102" spans="1:18">
      <c r="G102" s="175"/>
      <c r="H102" s="176"/>
      <c r="I102" s="176"/>
      <c r="J102" s="176"/>
      <c r="K102" s="176"/>
      <c r="L102" s="177"/>
      <c r="M102" s="171"/>
      <c r="N102" s="115" t="s">
        <v>152</v>
      </c>
      <c r="O102" s="115">
        <v>100</v>
      </c>
      <c r="P102" s="115" t="s">
        <v>153</v>
      </c>
      <c r="Q102" s="173"/>
      <c r="R102" s="171"/>
    </row>
    <row r="103" spans="1:18">
      <c r="G103" s="178"/>
      <c r="H103" s="179"/>
      <c r="I103" s="179"/>
      <c r="J103" s="179"/>
      <c r="K103" s="179"/>
      <c r="L103" s="180"/>
      <c r="M103" s="172"/>
      <c r="N103" s="116" t="s">
        <v>154</v>
      </c>
      <c r="O103" s="116">
        <v>52.9</v>
      </c>
      <c r="P103" s="116" t="s">
        <v>153</v>
      </c>
      <c r="Q103" s="174"/>
      <c r="R103" s="172"/>
    </row>
    <row r="109" spans="1:18">
      <c r="N109" s="83"/>
    </row>
    <row r="110" spans="1:18">
      <c r="A110" t="s">
        <v>12</v>
      </c>
      <c r="B110" t="s">
        <v>136</v>
      </c>
      <c r="C110" t="s">
        <v>155</v>
      </c>
      <c r="D110" t="s">
        <v>156</v>
      </c>
      <c r="E110" t="s">
        <v>157</v>
      </c>
      <c r="F110" t="s">
        <v>107</v>
      </c>
      <c r="G110" t="s">
        <v>158</v>
      </c>
      <c r="H110" t="s">
        <v>159</v>
      </c>
      <c r="I110" t="s">
        <v>160</v>
      </c>
      <c r="J110" t="s">
        <v>161</v>
      </c>
      <c r="K110" t="s">
        <v>162</v>
      </c>
      <c r="L110" t="s">
        <v>163</v>
      </c>
      <c r="M110" t="s">
        <v>164</v>
      </c>
      <c r="N110" t="s">
        <v>165</v>
      </c>
    </row>
    <row r="111" spans="1:18">
      <c r="A111">
        <v>0.1</v>
      </c>
      <c r="B111">
        <v>0.59040199999999998</v>
      </c>
      <c r="C111">
        <f>($B$21+$P$100*E107)</f>
        <v>27.121148600000001</v>
      </c>
      <c r="D111">
        <f>A21-(1-P100)*(Feed)</f>
        <v>8.5295767160691014</v>
      </c>
      <c r="E111">
        <f>(B111+((O103*A111)/(D111)))/(C111/D111)</f>
        <v>0.38073163141477828</v>
      </c>
      <c r="F111">
        <f>(-14695*E111)+13600</f>
        <v>8005.1486763598332</v>
      </c>
      <c r="G111">
        <f>-36407*$B$111+68264</f>
        <v>46769.234385999996</v>
      </c>
      <c r="H111">
        <f>0.5*$C$7*($C$9-$C$8)+0.5*$E$7*($C$9-$C$8)</f>
        <v>17684.231972325011</v>
      </c>
      <c r="I111">
        <f>(-14695*$A$111)+13600</f>
        <v>12130.5</v>
      </c>
      <c r="J111">
        <f>($C$21*$K$13)+($O$103*$I$111+$I$16)-($O$102*$H$111)</f>
        <v>1524871.7134323027</v>
      </c>
      <c r="K111">
        <f>((O103*F111)+(J111)-(I111*O103))/(G111-F111)</f>
        <v>33.707505400721786</v>
      </c>
      <c r="L111">
        <f>$O$103+K111</f>
        <v>86.607505400721777</v>
      </c>
      <c r="M111">
        <f>(B111+((O103*A111)/(K111)))/(L111/K111)</f>
        <v>0.29086369001210144</v>
      </c>
      <c r="N111" t="b">
        <f>IF(ABS((M111-E111))&lt;0.001,TRUE,FALSE)</f>
        <v>0</v>
      </c>
    </row>
    <row r="112" spans="1:18">
      <c r="B112">
        <f>IF(N111=FALSE,B111,B111+0.1)</f>
        <v>0.59040199999999998</v>
      </c>
      <c r="C112">
        <f>$C$111</f>
        <v>27.121148600000001</v>
      </c>
      <c r="D112">
        <f>$D$111</f>
        <v>8.5295767160691014</v>
      </c>
      <c r="E112">
        <f>IF(N111=FALSE,M111,(B112+(O103*A111)/(D112))/(C112/D112))</f>
        <v>0.29086369001210144</v>
      </c>
      <c r="F112">
        <f>(-14695*E112)+13600</f>
        <v>9325.7580752721697</v>
      </c>
      <c r="G112">
        <f>-36407*$B$111+68264</f>
        <v>46769.234385999996</v>
      </c>
      <c r="H112">
        <f>0.5*$C$7*($C$9-$C$8)+0.5*$E$7*($C$9-$C$8)</f>
        <v>17684.231972325011</v>
      </c>
      <c r="I112">
        <f>(-14695*$A$111)+13600</f>
        <v>12130.5</v>
      </c>
      <c r="J112">
        <f>($C$21*$K$13)+($O$103*$I$111+$I$16)-($O$102*$H$111)</f>
        <v>1524871.7134323027</v>
      </c>
      <c r="K112">
        <f>((O104*F112)+(J112)-(I112*O104))/(G112-F112)</f>
        <v>40.72462986016648</v>
      </c>
      <c r="L112">
        <f>$O$103+K112</f>
        <v>93.624629860166479</v>
      </c>
      <c r="M112">
        <f>(B112+((O104*A112)/(K112)))/(L112/K112)</f>
        <v>0.25681172736931401</v>
      </c>
      <c r="N112" t="b">
        <f>IF(ABS((M112-E112))&lt;0.001,TRUE,FALSE)</f>
        <v>0</v>
      </c>
    </row>
    <row r="113" spans="2:14">
      <c r="B113">
        <f t="shared" ref="B113:B126" si="24">IF(N112=FALSE,B112,B112+0.1)</f>
        <v>0.59040199999999998</v>
      </c>
      <c r="C113">
        <f t="shared" ref="C113:C155" si="25">$C$111</f>
        <v>27.121148600000001</v>
      </c>
      <c r="D113">
        <f t="shared" ref="D113:D155" si="26">$D$111</f>
        <v>8.5295767160691014</v>
      </c>
      <c r="E113">
        <f t="shared" ref="E113:E155" si="27">IF(N112=FALSE,M112,(B113+(O104*A112)/(D113))/(C113/D113))</f>
        <v>0.25681172736931401</v>
      </c>
      <c r="F113">
        <f t="shared" ref="F113:F155" si="28">(-14695*E113)+13600</f>
        <v>9826.151666307931</v>
      </c>
      <c r="G113">
        <f t="shared" ref="G113:G155" si="29">-36407*$B$111+68264</f>
        <v>46769.234385999996</v>
      </c>
      <c r="H113">
        <f t="shared" ref="H113:H155" si="30">0.5*$C$7*($C$9-$C$8)+0.5*$E$7*($C$9-$C$8)</f>
        <v>17684.231972325011</v>
      </c>
      <c r="I113">
        <f t="shared" ref="I113:I155" si="31">(-14695*$A$111)+13600</f>
        <v>12130.5</v>
      </c>
      <c r="J113">
        <f t="shared" ref="J113:J155" si="32">($C$21*$K$13)+($O$103*$I$111+$I$16)-($O$102*$H$111)</f>
        <v>1524871.7134323027</v>
      </c>
      <c r="K113">
        <f t="shared" ref="K113:K155" si="33">((O105*F113)+(J113)-(I113*O105))/(G113-F113)</f>
        <v>41.276244459683063</v>
      </c>
      <c r="L113">
        <f t="shared" ref="L113:L155" si="34">$O$103+K113</f>
        <v>94.176244459683062</v>
      </c>
      <c r="M113">
        <f t="shared" ref="M113:M155" si="35">(B113+((O105*A113)/(K113)))/(L113/K113)</f>
        <v>0.25876565179787392</v>
      </c>
      <c r="N113" t="b">
        <f t="shared" ref="N113:N155" si="36">IF(ABS((M113-E113))&lt;0.001,TRUE,FALSE)</f>
        <v>0</v>
      </c>
    </row>
    <row r="114" spans="2:14">
      <c r="B114">
        <f t="shared" si="24"/>
        <v>0.59040199999999998</v>
      </c>
      <c r="C114">
        <f t="shared" si="25"/>
        <v>27.121148600000001</v>
      </c>
      <c r="D114">
        <f t="shared" si="26"/>
        <v>8.5295767160691014</v>
      </c>
      <c r="E114">
        <f t="shared" si="27"/>
        <v>0.25876565179787392</v>
      </c>
      <c r="F114">
        <f t="shared" si="28"/>
        <v>9797.438746830243</v>
      </c>
      <c r="G114">
        <f t="shared" si="29"/>
        <v>46769.234385999996</v>
      </c>
      <c r="H114">
        <f t="shared" si="30"/>
        <v>17684.231972325011</v>
      </c>
      <c r="I114">
        <f t="shared" si="31"/>
        <v>12130.5</v>
      </c>
      <c r="J114">
        <f t="shared" si="32"/>
        <v>1524871.7134323027</v>
      </c>
      <c r="K114">
        <f t="shared" si="33"/>
        <v>41.244188632720288</v>
      </c>
      <c r="L114">
        <f t="shared" si="34"/>
        <v>94.144188632720287</v>
      </c>
      <c r="M114">
        <f t="shared" si="35"/>
        <v>0.25865273056984139</v>
      </c>
      <c r="N114" t="b">
        <f t="shared" si="36"/>
        <v>1</v>
      </c>
    </row>
    <row r="115" spans="2:14">
      <c r="B115">
        <f t="shared" si="24"/>
        <v>0.69040199999999996</v>
      </c>
      <c r="C115">
        <f t="shared" si="25"/>
        <v>27.121148600000001</v>
      </c>
      <c r="D115">
        <f t="shared" si="26"/>
        <v>8.5295767160691014</v>
      </c>
      <c r="E115">
        <f t="shared" si="27"/>
        <v>0.2171308048482703</v>
      </c>
      <c r="F115">
        <f t="shared" si="28"/>
        <v>10409.262822754668</v>
      </c>
      <c r="G115">
        <f t="shared" si="29"/>
        <v>46769.234385999996</v>
      </c>
      <c r="H115">
        <f t="shared" si="30"/>
        <v>17684.231972325011</v>
      </c>
      <c r="I115">
        <f t="shared" si="31"/>
        <v>12130.5</v>
      </c>
      <c r="J115">
        <f t="shared" si="32"/>
        <v>1524871.7134323027</v>
      </c>
      <c r="K115">
        <f t="shared" si="33"/>
        <v>41.938198735384255</v>
      </c>
      <c r="L115">
        <f t="shared" si="34"/>
        <v>94.838198735384253</v>
      </c>
      <c r="M115">
        <f t="shared" si="35"/>
        <v>0.30530120425519958</v>
      </c>
      <c r="N115" t="b">
        <f t="shared" si="36"/>
        <v>0</v>
      </c>
    </row>
    <row r="116" spans="2:14">
      <c r="B116">
        <f t="shared" si="24"/>
        <v>0.69040199999999996</v>
      </c>
      <c r="C116">
        <f t="shared" si="25"/>
        <v>27.121148600000001</v>
      </c>
      <c r="D116">
        <f t="shared" si="26"/>
        <v>8.5295767160691014</v>
      </c>
      <c r="E116">
        <f t="shared" si="27"/>
        <v>0.30530120425519958</v>
      </c>
      <c r="F116">
        <f t="shared" si="28"/>
        <v>9113.5988034698421</v>
      </c>
      <c r="G116">
        <f t="shared" si="29"/>
        <v>46769.234385999996</v>
      </c>
      <c r="H116">
        <f t="shared" si="30"/>
        <v>17684.231972325011</v>
      </c>
      <c r="I116">
        <f t="shared" si="31"/>
        <v>12130.5</v>
      </c>
      <c r="J116">
        <f t="shared" si="32"/>
        <v>1524871.7134323027</v>
      </c>
      <c r="K116">
        <f t="shared" si="33"/>
        <v>40.495179269786306</v>
      </c>
      <c r="L116">
        <f t="shared" si="34"/>
        <v>93.395179269786297</v>
      </c>
      <c r="M116">
        <f t="shared" si="35"/>
        <v>0.29935113328984753</v>
      </c>
      <c r="N116" t="b">
        <f t="shared" si="36"/>
        <v>0</v>
      </c>
    </row>
    <row r="117" spans="2:14">
      <c r="B117">
        <f t="shared" si="24"/>
        <v>0.69040199999999996</v>
      </c>
      <c r="C117">
        <f t="shared" si="25"/>
        <v>27.121148600000001</v>
      </c>
      <c r="D117">
        <f t="shared" si="26"/>
        <v>8.5295767160691014</v>
      </c>
      <c r="E117">
        <f t="shared" si="27"/>
        <v>0.29935113328984753</v>
      </c>
      <c r="F117">
        <f t="shared" si="28"/>
        <v>9201.0350963056917</v>
      </c>
      <c r="G117">
        <f t="shared" si="29"/>
        <v>46769.234385999996</v>
      </c>
      <c r="H117">
        <f t="shared" si="30"/>
        <v>17684.231972325011</v>
      </c>
      <c r="I117">
        <f t="shared" si="31"/>
        <v>12130.5</v>
      </c>
      <c r="J117">
        <f t="shared" si="32"/>
        <v>1524871.7134323027</v>
      </c>
      <c r="K117">
        <f t="shared" si="33"/>
        <v>40.589427820955073</v>
      </c>
      <c r="L117">
        <f t="shared" si="34"/>
        <v>93.489427820955072</v>
      </c>
      <c r="M117">
        <f t="shared" si="35"/>
        <v>0.29974535944439523</v>
      </c>
      <c r="N117" t="b">
        <f t="shared" si="36"/>
        <v>1</v>
      </c>
    </row>
    <row r="118" spans="2:14">
      <c r="B118">
        <f t="shared" si="24"/>
        <v>0.79040199999999994</v>
      </c>
      <c r="C118">
        <f t="shared" si="25"/>
        <v>27.121148600000001</v>
      </c>
      <c r="D118">
        <f t="shared" si="26"/>
        <v>8.5295767160691014</v>
      </c>
      <c r="E118">
        <f t="shared" si="27"/>
        <v>0.2485807144441681</v>
      </c>
      <c r="F118">
        <f t="shared" si="28"/>
        <v>9947.1064012429488</v>
      </c>
      <c r="G118">
        <f t="shared" si="29"/>
        <v>46769.234385999996</v>
      </c>
      <c r="H118">
        <f t="shared" si="30"/>
        <v>17684.231972325011</v>
      </c>
      <c r="I118">
        <f t="shared" si="31"/>
        <v>12130.5</v>
      </c>
      <c r="J118">
        <f t="shared" si="32"/>
        <v>1524871.7134323027</v>
      </c>
      <c r="K118">
        <f t="shared" si="33"/>
        <v>41.411830246843451</v>
      </c>
      <c r="L118">
        <f t="shared" si="34"/>
        <v>94.311830246843442</v>
      </c>
      <c r="M118">
        <f t="shared" si="35"/>
        <v>0.34706137464510795</v>
      </c>
      <c r="N118" t="b">
        <f t="shared" si="36"/>
        <v>0</v>
      </c>
    </row>
    <row r="119" spans="2:14">
      <c r="B119">
        <f t="shared" si="24"/>
        <v>0.79040199999999994</v>
      </c>
      <c r="C119">
        <f t="shared" si="25"/>
        <v>27.121148600000001</v>
      </c>
      <c r="D119">
        <f t="shared" si="26"/>
        <v>8.5295767160691014</v>
      </c>
      <c r="E119">
        <f t="shared" si="27"/>
        <v>0.34706137464510795</v>
      </c>
      <c r="F119">
        <f t="shared" si="28"/>
        <v>8499.93309959014</v>
      </c>
      <c r="G119">
        <f t="shared" si="29"/>
        <v>46769.234385999996</v>
      </c>
      <c r="H119">
        <f t="shared" si="30"/>
        <v>17684.231972325011</v>
      </c>
      <c r="I119">
        <f t="shared" si="31"/>
        <v>12130.5</v>
      </c>
      <c r="J119">
        <f t="shared" si="32"/>
        <v>1524871.7134323027</v>
      </c>
      <c r="K119">
        <f t="shared" si="33"/>
        <v>39.845820597038525</v>
      </c>
      <c r="L119">
        <f t="shared" si="34"/>
        <v>92.745820597038517</v>
      </c>
      <c r="M119">
        <f t="shared" si="35"/>
        <v>0.33957558506465024</v>
      </c>
      <c r="N119" t="b">
        <f t="shared" si="36"/>
        <v>0</v>
      </c>
    </row>
    <row r="120" spans="2:14">
      <c r="B120">
        <f t="shared" si="24"/>
        <v>0.79040199999999994</v>
      </c>
      <c r="C120">
        <f t="shared" si="25"/>
        <v>27.121148600000001</v>
      </c>
      <c r="D120">
        <f t="shared" si="26"/>
        <v>8.5295767160691014</v>
      </c>
      <c r="E120">
        <f t="shared" si="27"/>
        <v>0.33957558506465024</v>
      </c>
      <c r="F120">
        <f t="shared" si="28"/>
        <v>8609.9367774749644</v>
      </c>
      <c r="G120">
        <f t="shared" si="29"/>
        <v>46769.234385999996</v>
      </c>
      <c r="H120">
        <f t="shared" si="30"/>
        <v>17684.231972325011</v>
      </c>
      <c r="I120">
        <f t="shared" si="31"/>
        <v>12130.5</v>
      </c>
      <c r="J120">
        <f t="shared" si="32"/>
        <v>1524871.7134323027</v>
      </c>
      <c r="K120">
        <f t="shared" si="33"/>
        <v>39.960686097420108</v>
      </c>
      <c r="L120">
        <f t="shared" si="34"/>
        <v>92.860686097420114</v>
      </c>
      <c r="M120">
        <f t="shared" si="35"/>
        <v>0.34013324195814393</v>
      </c>
      <c r="N120" t="b">
        <f t="shared" si="36"/>
        <v>1</v>
      </c>
    </row>
    <row r="121" spans="2:14">
      <c r="B121">
        <f t="shared" si="24"/>
        <v>0.89040199999999992</v>
      </c>
      <c r="C121">
        <f t="shared" si="25"/>
        <v>27.121148600000001</v>
      </c>
      <c r="D121">
        <f t="shared" si="26"/>
        <v>8.5295767160691014</v>
      </c>
      <c r="E121">
        <f t="shared" si="27"/>
        <v>0.2800306240400659</v>
      </c>
      <c r="F121">
        <f t="shared" si="28"/>
        <v>9484.949979731231</v>
      </c>
      <c r="G121">
        <f t="shared" si="29"/>
        <v>46769.234385999996</v>
      </c>
      <c r="H121">
        <f t="shared" si="30"/>
        <v>17684.231972325011</v>
      </c>
      <c r="I121">
        <f t="shared" si="31"/>
        <v>12130.5</v>
      </c>
      <c r="J121">
        <f t="shared" si="32"/>
        <v>1524871.7134323027</v>
      </c>
      <c r="K121">
        <f t="shared" si="33"/>
        <v>40.898510933360427</v>
      </c>
      <c r="L121">
        <f t="shared" si="34"/>
        <v>93.798510933360433</v>
      </c>
      <c r="M121">
        <f t="shared" si="35"/>
        <v>0.38823767637375373</v>
      </c>
      <c r="N121" t="b">
        <f t="shared" si="36"/>
        <v>0</v>
      </c>
    </row>
    <row r="122" spans="2:14">
      <c r="B122">
        <f t="shared" si="24"/>
        <v>0.89040199999999992</v>
      </c>
      <c r="C122">
        <f t="shared" si="25"/>
        <v>27.121148600000001</v>
      </c>
      <c r="D122">
        <f t="shared" si="26"/>
        <v>8.5295767160691014</v>
      </c>
      <c r="E122">
        <f t="shared" si="27"/>
        <v>0.38823767637375373</v>
      </c>
      <c r="F122">
        <f t="shared" si="28"/>
        <v>7894.8473456876891</v>
      </c>
      <c r="G122">
        <f t="shared" si="29"/>
        <v>46769.234385999996</v>
      </c>
      <c r="H122">
        <f t="shared" si="30"/>
        <v>17684.231972325011</v>
      </c>
      <c r="I122">
        <f t="shared" si="31"/>
        <v>12130.5</v>
      </c>
      <c r="J122">
        <f t="shared" si="32"/>
        <v>1524871.7134323027</v>
      </c>
      <c r="K122">
        <f t="shared" si="33"/>
        <v>39.225614331900019</v>
      </c>
      <c r="L122">
        <f t="shared" si="34"/>
        <v>92.12561433190001</v>
      </c>
      <c r="M122">
        <f t="shared" si="35"/>
        <v>0.37911894217088049</v>
      </c>
      <c r="N122" t="b">
        <f t="shared" si="36"/>
        <v>0</v>
      </c>
    </row>
    <row r="123" spans="2:14">
      <c r="B123">
        <f t="shared" si="24"/>
        <v>0.89040199999999992</v>
      </c>
      <c r="C123">
        <f t="shared" si="25"/>
        <v>27.121148600000001</v>
      </c>
      <c r="D123">
        <f t="shared" si="26"/>
        <v>8.5295767160691014</v>
      </c>
      <c r="E123">
        <f t="shared" si="27"/>
        <v>0.37911894217088049</v>
      </c>
      <c r="F123">
        <f t="shared" si="28"/>
        <v>8028.8471447989114</v>
      </c>
      <c r="G123">
        <f t="shared" si="29"/>
        <v>46769.234385999996</v>
      </c>
      <c r="H123">
        <f t="shared" si="30"/>
        <v>17684.231972325011</v>
      </c>
      <c r="I123">
        <f t="shared" si="31"/>
        <v>12130.5</v>
      </c>
      <c r="J123">
        <f t="shared" si="32"/>
        <v>1524871.7134323027</v>
      </c>
      <c r="K123">
        <f t="shared" si="33"/>
        <v>39.361292491433197</v>
      </c>
      <c r="L123">
        <f t="shared" si="34"/>
        <v>92.261292491433196</v>
      </c>
      <c r="M123">
        <f t="shared" si="35"/>
        <v>0.37987082784702347</v>
      </c>
      <c r="N123" t="b">
        <f t="shared" si="36"/>
        <v>1</v>
      </c>
    </row>
    <row r="124" spans="2:14">
      <c r="B124">
        <f t="shared" si="24"/>
        <v>0.99040199999999989</v>
      </c>
      <c r="C124">
        <f t="shared" si="25"/>
        <v>27.121148600000001</v>
      </c>
      <c r="D124">
        <f t="shared" si="26"/>
        <v>8.5295767160691014</v>
      </c>
      <c r="E124">
        <f t="shared" si="27"/>
        <v>0.31148053363596367</v>
      </c>
      <c r="F124">
        <f t="shared" si="28"/>
        <v>9022.7935582195132</v>
      </c>
      <c r="G124">
        <f t="shared" si="29"/>
        <v>46769.234385999996</v>
      </c>
      <c r="H124">
        <f t="shared" si="30"/>
        <v>17684.231972325011</v>
      </c>
      <c r="I124">
        <f t="shared" si="31"/>
        <v>12130.5</v>
      </c>
      <c r="J124">
        <f t="shared" si="32"/>
        <v>1524871.7134323027</v>
      </c>
      <c r="K124">
        <f t="shared" si="33"/>
        <v>40.397761484045226</v>
      </c>
      <c r="L124">
        <f t="shared" si="34"/>
        <v>93.297761484045225</v>
      </c>
      <c r="M124">
        <f t="shared" si="35"/>
        <v>0.42884226944891324</v>
      </c>
      <c r="N124" t="b">
        <f t="shared" si="36"/>
        <v>0</v>
      </c>
    </row>
    <row r="125" spans="2:14">
      <c r="B125">
        <f t="shared" si="24"/>
        <v>0.99040199999999989</v>
      </c>
      <c r="C125">
        <f t="shared" si="25"/>
        <v>27.121148600000001</v>
      </c>
      <c r="D125">
        <f t="shared" si="26"/>
        <v>8.5295767160691014</v>
      </c>
      <c r="E125">
        <f t="shared" si="27"/>
        <v>0.42884226944891324</v>
      </c>
      <c r="F125">
        <f t="shared" si="28"/>
        <v>7298.1628504482196</v>
      </c>
      <c r="G125">
        <f t="shared" si="29"/>
        <v>46769.234385999996</v>
      </c>
      <c r="H125">
        <f t="shared" si="30"/>
        <v>17684.231972325011</v>
      </c>
      <c r="I125">
        <f t="shared" si="31"/>
        <v>12130.5</v>
      </c>
      <c r="J125">
        <f t="shared" si="32"/>
        <v>1524871.7134323027</v>
      </c>
      <c r="K125">
        <f t="shared" si="33"/>
        <v>38.632640415116263</v>
      </c>
      <c r="L125">
        <f t="shared" si="34"/>
        <v>91.532640415116262</v>
      </c>
      <c r="M125">
        <f t="shared" si="35"/>
        <v>0.41801311705734623</v>
      </c>
      <c r="N125" t="b">
        <f t="shared" si="36"/>
        <v>0</v>
      </c>
    </row>
    <row r="126" spans="2:14">
      <c r="B126">
        <f t="shared" si="24"/>
        <v>0.99040199999999989</v>
      </c>
      <c r="C126">
        <f t="shared" si="25"/>
        <v>27.121148600000001</v>
      </c>
      <c r="D126">
        <f t="shared" si="26"/>
        <v>8.5295767160691014</v>
      </c>
      <c r="E126">
        <f t="shared" si="27"/>
        <v>0.41801311705734623</v>
      </c>
      <c r="F126">
        <f t="shared" si="28"/>
        <v>7457.297244842297</v>
      </c>
      <c r="G126">
        <f t="shared" si="29"/>
        <v>46769.234385999996</v>
      </c>
      <c r="H126">
        <f t="shared" si="30"/>
        <v>17684.231972325011</v>
      </c>
      <c r="I126">
        <f t="shared" si="31"/>
        <v>12130.5</v>
      </c>
      <c r="J126">
        <f t="shared" si="32"/>
        <v>1524871.7134323027</v>
      </c>
      <c r="K126">
        <f t="shared" si="33"/>
        <v>38.789025022016418</v>
      </c>
      <c r="L126">
        <f t="shared" si="34"/>
        <v>91.689025022016409</v>
      </c>
      <c r="M126">
        <f t="shared" si="35"/>
        <v>0.41898938232389821</v>
      </c>
      <c r="N126" t="b">
        <f t="shared" si="36"/>
        <v>1</v>
      </c>
    </row>
    <row r="127" spans="2:14">
      <c r="B127">
        <v>0.1</v>
      </c>
      <c r="C127">
        <f t="shared" si="25"/>
        <v>27.121148600000001</v>
      </c>
      <c r="D127">
        <f t="shared" si="26"/>
        <v>8.5295767160691014</v>
      </c>
      <c r="E127">
        <f t="shared" si="27"/>
        <v>3.1449909595897801E-2</v>
      </c>
      <c r="F127">
        <f t="shared" si="28"/>
        <v>13137.843578488282</v>
      </c>
      <c r="G127">
        <f t="shared" si="29"/>
        <v>46769.234385999996</v>
      </c>
      <c r="H127">
        <f t="shared" si="30"/>
        <v>17684.231972325011</v>
      </c>
      <c r="I127">
        <f t="shared" si="31"/>
        <v>12130.5</v>
      </c>
      <c r="J127">
        <f t="shared" si="32"/>
        <v>1524871.7134323027</v>
      </c>
      <c r="K127">
        <f t="shared" si="33"/>
        <v>45.340727124841834</v>
      </c>
      <c r="L127">
        <f t="shared" si="34"/>
        <v>98.24072712484184</v>
      </c>
      <c r="M127">
        <f t="shared" si="35"/>
        <v>4.6152678682054117E-2</v>
      </c>
      <c r="N127" t="b">
        <f t="shared" si="36"/>
        <v>0</v>
      </c>
    </row>
    <row r="128" spans="2:14">
      <c r="B128">
        <f>IF(N127=FALSE,B127,B127+0.1)</f>
        <v>0.1</v>
      </c>
      <c r="C128">
        <f t="shared" si="25"/>
        <v>27.121148600000001</v>
      </c>
      <c r="D128">
        <f t="shared" si="26"/>
        <v>8.5295767160691014</v>
      </c>
      <c r="E128">
        <f t="shared" si="27"/>
        <v>4.6152678682054117E-2</v>
      </c>
      <c r="F128">
        <f t="shared" si="28"/>
        <v>12921.786386767215</v>
      </c>
      <c r="G128">
        <f t="shared" si="29"/>
        <v>46769.234385999996</v>
      </c>
      <c r="H128">
        <f t="shared" si="30"/>
        <v>17684.231972325011</v>
      </c>
      <c r="I128">
        <f t="shared" si="31"/>
        <v>12130.5</v>
      </c>
      <c r="J128">
        <f t="shared" si="32"/>
        <v>1524871.7134323027</v>
      </c>
      <c r="K128">
        <f t="shared" si="33"/>
        <v>45.051305299792965</v>
      </c>
      <c r="L128">
        <f t="shared" si="34"/>
        <v>97.951305299792963</v>
      </c>
      <c r="M128">
        <f t="shared" si="35"/>
        <v>4.5993573196301436E-2</v>
      </c>
      <c r="N128" t="b">
        <f t="shared" si="36"/>
        <v>1</v>
      </c>
    </row>
    <row r="129" spans="2:14">
      <c r="B129">
        <f t="shared" ref="B129:B154" si="37">IF(N128=FALSE,B128,B128+0.1)</f>
        <v>0.2</v>
      </c>
      <c r="C129">
        <f t="shared" si="25"/>
        <v>27.121148600000001</v>
      </c>
      <c r="D129">
        <f t="shared" si="26"/>
        <v>8.5295767160691014</v>
      </c>
      <c r="E129">
        <f t="shared" si="27"/>
        <v>6.2899819191795603E-2</v>
      </c>
      <c r="F129">
        <f t="shared" si="28"/>
        <v>12675.687156976564</v>
      </c>
      <c r="G129">
        <f t="shared" si="29"/>
        <v>46769.234385999996</v>
      </c>
      <c r="H129">
        <f t="shared" si="30"/>
        <v>17684.231972325011</v>
      </c>
      <c r="I129">
        <f t="shared" si="31"/>
        <v>12130.5</v>
      </c>
      <c r="J129">
        <f t="shared" si="32"/>
        <v>1524871.7134323027</v>
      </c>
      <c r="K129">
        <f t="shared" si="33"/>
        <v>44.726109113521559</v>
      </c>
      <c r="L129">
        <f t="shared" si="34"/>
        <v>97.626109113521551</v>
      </c>
      <c r="M129">
        <f t="shared" si="35"/>
        <v>9.1627351575618285E-2</v>
      </c>
      <c r="N129" t="b">
        <f t="shared" si="36"/>
        <v>0</v>
      </c>
    </row>
    <row r="130" spans="2:14">
      <c r="B130">
        <f t="shared" si="37"/>
        <v>0.2</v>
      </c>
      <c r="C130">
        <f t="shared" si="25"/>
        <v>27.121148600000001</v>
      </c>
      <c r="D130">
        <f t="shared" si="26"/>
        <v>8.5295767160691014</v>
      </c>
      <c r="E130">
        <f t="shared" si="27"/>
        <v>9.1627351575618285E-2</v>
      </c>
      <c r="F130">
        <f t="shared" si="28"/>
        <v>12253.53606859629</v>
      </c>
      <c r="G130">
        <f t="shared" si="29"/>
        <v>46769.234385999996</v>
      </c>
      <c r="H130">
        <f t="shared" si="30"/>
        <v>17684.231972325011</v>
      </c>
      <c r="I130">
        <f t="shared" si="31"/>
        <v>12130.5</v>
      </c>
      <c r="J130">
        <f t="shared" si="32"/>
        <v>1524871.7134323027</v>
      </c>
      <c r="K130">
        <f t="shared" si="33"/>
        <v>44.179077572462816</v>
      </c>
      <c r="L130">
        <f t="shared" si="34"/>
        <v>97.079077572462808</v>
      </c>
      <c r="M130">
        <f t="shared" si="35"/>
        <v>9.1016681816916106E-2</v>
      </c>
      <c r="N130" t="b">
        <f t="shared" si="36"/>
        <v>1</v>
      </c>
    </row>
    <row r="131" spans="2:14">
      <c r="B131">
        <f t="shared" si="37"/>
        <v>0.30000000000000004</v>
      </c>
      <c r="C131">
        <f t="shared" si="25"/>
        <v>27.121148600000001</v>
      </c>
      <c r="D131">
        <f t="shared" si="26"/>
        <v>8.5295767160691014</v>
      </c>
      <c r="E131">
        <f t="shared" si="27"/>
        <v>9.4349728787693404E-2</v>
      </c>
      <c r="F131">
        <f t="shared" si="28"/>
        <v>12213.530735464845</v>
      </c>
      <c r="G131">
        <f t="shared" si="29"/>
        <v>46769.234385999996</v>
      </c>
      <c r="H131">
        <f t="shared" si="30"/>
        <v>17684.231972325011</v>
      </c>
      <c r="I131">
        <f t="shared" si="31"/>
        <v>12130.5</v>
      </c>
      <c r="J131">
        <f t="shared" si="32"/>
        <v>1524871.7134323027</v>
      </c>
      <c r="K131">
        <f t="shared" si="33"/>
        <v>44.127931205032418</v>
      </c>
      <c r="L131">
        <f t="shared" si="34"/>
        <v>97.027931205032417</v>
      </c>
      <c r="M131">
        <f t="shared" si="35"/>
        <v>0.1364388501032279</v>
      </c>
      <c r="N131" t="b">
        <f t="shared" si="36"/>
        <v>0</v>
      </c>
    </row>
    <row r="132" spans="2:14">
      <c r="B132">
        <f t="shared" si="37"/>
        <v>0.30000000000000004</v>
      </c>
      <c r="C132">
        <f t="shared" si="25"/>
        <v>27.121148600000001</v>
      </c>
      <c r="D132">
        <f t="shared" si="26"/>
        <v>8.5295767160691014</v>
      </c>
      <c r="E132">
        <f t="shared" si="27"/>
        <v>0.1364388501032279</v>
      </c>
      <c r="F132">
        <f t="shared" si="28"/>
        <v>11595.031097733066</v>
      </c>
      <c r="G132">
        <f t="shared" si="29"/>
        <v>46769.234385999996</v>
      </c>
      <c r="H132">
        <f t="shared" si="30"/>
        <v>17684.231972325011</v>
      </c>
      <c r="I132">
        <f t="shared" si="31"/>
        <v>12130.5</v>
      </c>
      <c r="J132">
        <f t="shared" si="32"/>
        <v>1524871.7134323027</v>
      </c>
      <c r="K132">
        <f t="shared" si="33"/>
        <v>43.351990120013738</v>
      </c>
      <c r="L132">
        <f t="shared" si="34"/>
        <v>96.251990120013744</v>
      </c>
      <c r="M132">
        <f t="shared" si="35"/>
        <v>0.1351202922639608</v>
      </c>
      <c r="N132" t="b">
        <f t="shared" si="36"/>
        <v>0</v>
      </c>
    </row>
    <row r="133" spans="2:14">
      <c r="B133">
        <f t="shared" si="37"/>
        <v>0.30000000000000004</v>
      </c>
      <c r="C133">
        <f t="shared" si="25"/>
        <v>27.121148600000001</v>
      </c>
      <c r="D133">
        <f t="shared" si="26"/>
        <v>8.5295767160691014</v>
      </c>
      <c r="E133">
        <f t="shared" si="27"/>
        <v>0.1351202922639608</v>
      </c>
      <c r="F133">
        <f t="shared" si="28"/>
        <v>11614.407305181096</v>
      </c>
      <c r="G133">
        <f t="shared" si="29"/>
        <v>46769.234385999996</v>
      </c>
      <c r="H133">
        <f t="shared" si="30"/>
        <v>17684.231972325011</v>
      </c>
      <c r="I133">
        <f t="shared" si="31"/>
        <v>12130.5</v>
      </c>
      <c r="J133">
        <f t="shared" si="32"/>
        <v>1524871.7134323027</v>
      </c>
      <c r="K133">
        <f t="shared" si="33"/>
        <v>43.375884339488046</v>
      </c>
      <c r="L133">
        <f t="shared" si="34"/>
        <v>96.275884339488044</v>
      </c>
      <c r="M133">
        <f t="shared" si="35"/>
        <v>0.13516121291559161</v>
      </c>
      <c r="N133" t="b">
        <f t="shared" si="36"/>
        <v>1</v>
      </c>
    </row>
    <row r="134" spans="2:14">
      <c r="B134">
        <f t="shared" si="37"/>
        <v>0.4</v>
      </c>
      <c r="C134">
        <f t="shared" si="25"/>
        <v>27.121148600000001</v>
      </c>
      <c r="D134">
        <f t="shared" si="26"/>
        <v>8.5295767160691014</v>
      </c>
      <c r="E134">
        <f t="shared" si="27"/>
        <v>0.12579963838359121</v>
      </c>
      <c r="F134">
        <f t="shared" si="28"/>
        <v>11751.374313953127</v>
      </c>
      <c r="G134">
        <f t="shared" si="29"/>
        <v>46769.234385999996</v>
      </c>
      <c r="H134">
        <f t="shared" si="30"/>
        <v>17684.231972325011</v>
      </c>
      <c r="I134">
        <f t="shared" si="31"/>
        <v>12130.5</v>
      </c>
      <c r="J134">
        <f t="shared" si="32"/>
        <v>1524871.7134323027</v>
      </c>
      <c r="K134">
        <f t="shared" si="33"/>
        <v>43.545542483035305</v>
      </c>
      <c r="L134">
        <f t="shared" si="34"/>
        <v>96.445542483035297</v>
      </c>
      <c r="M134">
        <f t="shared" si="35"/>
        <v>0.18060157623436018</v>
      </c>
      <c r="N134" t="b">
        <f t="shared" si="36"/>
        <v>0</v>
      </c>
    </row>
    <row r="135" spans="2:14">
      <c r="B135">
        <f t="shared" si="37"/>
        <v>0.4</v>
      </c>
      <c r="C135">
        <f t="shared" si="25"/>
        <v>27.121148600000001</v>
      </c>
      <c r="D135">
        <f t="shared" si="26"/>
        <v>8.5295767160691014</v>
      </c>
      <c r="E135">
        <f t="shared" si="27"/>
        <v>0.18060157623436018</v>
      </c>
      <c r="F135">
        <f t="shared" si="28"/>
        <v>10946.059837236076</v>
      </c>
      <c r="G135">
        <f t="shared" si="29"/>
        <v>46769.234385999996</v>
      </c>
      <c r="H135">
        <f t="shared" si="30"/>
        <v>17684.231972325011</v>
      </c>
      <c r="I135">
        <f t="shared" si="31"/>
        <v>12130.5</v>
      </c>
      <c r="J135">
        <f t="shared" si="32"/>
        <v>1524871.7134323027</v>
      </c>
      <c r="K135">
        <f t="shared" si="33"/>
        <v>42.566627124477399</v>
      </c>
      <c r="L135">
        <f t="shared" si="34"/>
        <v>95.466627124477398</v>
      </c>
      <c r="M135">
        <f t="shared" si="35"/>
        <v>0.17835186350084606</v>
      </c>
      <c r="N135" t="b">
        <f t="shared" si="36"/>
        <v>0</v>
      </c>
    </row>
    <row r="136" spans="2:14">
      <c r="B136">
        <f t="shared" si="37"/>
        <v>0.4</v>
      </c>
      <c r="C136">
        <f t="shared" si="25"/>
        <v>27.121148600000001</v>
      </c>
      <c r="D136">
        <f t="shared" si="26"/>
        <v>8.5295767160691014</v>
      </c>
      <c r="E136">
        <f t="shared" si="27"/>
        <v>0.17835186350084606</v>
      </c>
      <c r="F136">
        <f t="shared" si="28"/>
        <v>10979.119365855067</v>
      </c>
      <c r="G136">
        <f t="shared" si="29"/>
        <v>46769.234385999996</v>
      </c>
      <c r="H136">
        <f t="shared" si="30"/>
        <v>17684.231972325011</v>
      </c>
      <c r="I136">
        <f t="shared" si="31"/>
        <v>12130.5</v>
      </c>
      <c r="J136">
        <f t="shared" si="32"/>
        <v>1524871.7134323027</v>
      </c>
      <c r="K136">
        <f t="shared" si="33"/>
        <v>42.605946155076872</v>
      </c>
      <c r="L136">
        <f t="shared" si="34"/>
        <v>95.50594615507687</v>
      </c>
      <c r="M136">
        <f t="shared" si="35"/>
        <v>0.17844311425760184</v>
      </c>
      <c r="N136" t="b">
        <f t="shared" si="36"/>
        <v>1</v>
      </c>
    </row>
    <row r="137" spans="2:14">
      <c r="B137">
        <f t="shared" si="37"/>
        <v>0.5</v>
      </c>
      <c r="C137">
        <f t="shared" si="25"/>
        <v>27.121148600000001</v>
      </c>
      <c r="D137">
        <f t="shared" si="26"/>
        <v>8.5295767160691014</v>
      </c>
      <c r="E137">
        <f t="shared" si="27"/>
        <v>0.15724954797948898</v>
      </c>
      <c r="F137">
        <f t="shared" si="28"/>
        <v>11289.217892441409</v>
      </c>
      <c r="G137">
        <f t="shared" si="29"/>
        <v>46769.234385999996</v>
      </c>
      <c r="H137">
        <f t="shared" si="30"/>
        <v>17684.231972325011</v>
      </c>
      <c r="I137">
        <f t="shared" si="31"/>
        <v>12130.5</v>
      </c>
      <c r="J137">
        <f t="shared" si="32"/>
        <v>1524871.7134323027</v>
      </c>
      <c r="K137">
        <f t="shared" si="33"/>
        <v>42.978325946075699</v>
      </c>
      <c r="L137">
        <f t="shared" si="34"/>
        <v>95.878325946075705</v>
      </c>
      <c r="M137">
        <f t="shared" si="35"/>
        <v>0.22412951791757268</v>
      </c>
      <c r="N137" t="b">
        <f t="shared" si="36"/>
        <v>0</v>
      </c>
    </row>
    <row r="138" spans="2:14">
      <c r="B138">
        <f t="shared" si="37"/>
        <v>0.5</v>
      </c>
      <c r="C138">
        <f t="shared" si="25"/>
        <v>27.121148600000001</v>
      </c>
      <c r="D138">
        <f t="shared" si="26"/>
        <v>8.5295767160691014</v>
      </c>
      <c r="E138">
        <f t="shared" si="27"/>
        <v>0.22412951791757268</v>
      </c>
      <c r="F138">
        <f t="shared" si="28"/>
        <v>10306.41673420127</v>
      </c>
      <c r="G138">
        <f t="shared" si="29"/>
        <v>46769.234385999996</v>
      </c>
      <c r="H138">
        <f t="shared" si="30"/>
        <v>17684.231972325011</v>
      </c>
      <c r="I138">
        <f t="shared" si="31"/>
        <v>12130.5</v>
      </c>
      <c r="J138">
        <f t="shared" si="32"/>
        <v>1524871.7134323027</v>
      </c>
      <c r="K138">
        <f t="shared" si="33"/>
        <v>41.819908927336556</v>
      </c>
      <c r="L138">
        <f t="shared" si="34"/>
        <v>94.719908927336547</v>
      </c>
      <c r="M138">
        <f t="shared" si="35"/>
        <v>0.22075564367053124</v>
      </c>
      <c r="N138" t="b">
        <f t="shared" si="36"/>
        <v>0</v>
      </c>
    </row>
    <row r="139" spans="2:14">
      <c r="B139">
        <f t="shared" si="37"/>
        <v>0.5</v>
      </c>
      <c r="C139">
        <f t="shared" si="25"/>
        <v>27.121148600000001</v>
      </c>
      <c r="D139">
        <f t="shared" si="26"/>
        <v>8.5295767160691014</v>
      </c>
      <c r="E139">
        <f t="shared" si="27"/>
        <v>0.22075564367053124</v>
      </c>
      <c r="F139">
        <f t="shared" si="28"/>
        <v>10355.995816261544</v>
      </c>
      <c r="G139">
        <f t="shared" si="29"/>
        <v>46769.234385999996</v>
      </c>
      <c r="H139">
        <f t="shared" si="30"/>
        <v>17684.231972325011</v>
      </c>
      <c r="I139">
        <f t="shared" si="31"/>
        <v>12130.5</v>
      </c>
      <c r="J139">
        <f t="shared" si="32"/>
        <v>1524871.7134323027</v>
      </c>
      <c r="K139">
        <f t="shared" si="33"/>
        <v>41.87684955601727</v>
      </c>
      <c r="L139">
        <f t="shared" si="34"/>
        <v>94.776849556017268</v>
      </c>
      <c r="M139">
        <f t="shared" si="35"/>
        <v>0.22092340984211664</v>
      </c>
      <c r="N139" t="b">
        <f t="shared" si="36"/>
        <v>1</v>
      </c>
    </row>
    <row r="140" spans="2:14">
      <c r="B140">
        <f t="shared" si="37"/>
        <v>0.6</v>
      </c>
      <c r="C140">
        <f t="shared" si="25"/>
        <v>27.121148600000001</v>
      </c>
      <c r="D140">
        <f t="shared" si="26"/>
        <v>8.5295767160691014</v>
      </c>
      <c r="E140">
        <f t="shared" si="27"/>
        <v>0.18869945757538678</v>
      </c>
      <c r="F140">
        <f t="shared" si="28"/>
        <v>10827.061470929691</v>
      </c>
      <c r="G140">
        <f t="shared" si="29"/>
        <v>46769.234385999996</v>
      </c>
      <c r="H140">
        <f t="shared" si="30"/>
        <v>17684.231972325011</v>
      </c>
      <c r="I140">
        <f t="shared" si="31"/>
        <v>12130.5</v>
      </c>
      <c r="J140">
        <f t="shared" si="32"/>
        <v>1524871.7134323027</v>
      </c>
      <c r="K140">
        <f t="shared" si="33"/>
        <v>42.425696327139271</v>
      </c>
      <c r="L140">
        <f t="shared" si="34"/>
        <v>95.325696327139269</v>
      </c>
      <c r="M140">
        <f t="shared" si="35"/>
        <v>0.26703626385193674</v>
      </c>
      <c r="N140" t="b">
        <f t="shared" si="36"/>
        <v>0</v>
      </c>
    </row>
    <row r="141" spans="2:14">
      <c r="B141">
        <f t="shared" si="37"/>
        <v>0.6</v>
      </c>
      <c r="C141">
        <f t="shared" si="25"/>
        <v>27.121148600000001</v>
      </c>
      <c r="D141">
        <f t="shared" si="26"/>
        <v>8.5295767160691014</v>
      </c>
      <c r="E141">
        <f t="shared" si="27"/>
        <v>0.26703626385193674</v>
      </c>
      <c r="F141">
        <f t="shared" si="28"/>
        <v>9675.9021026957889</v>
      </c>
      <c r="G141">
        <f t="shared" si="29"/>
        <v>46769.234385999996</v>
      </c>
      <c r="H141">
        <f t="shared" si="30"/>
        <v>17684.231972325011</v>
      </c>
      <c r="I141">
        <f t="shared" si="31"/>
        <v>12130.5</v>
      </c>
      <c r="J141">
        <f t="shared" si="32"/>
        <v>1524871.7134323027</v>
      </c>
      <c r="K141">
        <f t="shared" si="33"/>
        <v>41.109051669608313</v>
      </c>
      <c r="L141">
        <f t="shared" si="34"/>
        <v>94.009051669608311</v>
      </c>
      <c r="M141">
        <f t="shared" si="35"/>
        <v>0.26237293711302206</v>
      </c>
      <c r="N141" t="b">
        <f t="shared" si="36"/>
        <v>0</v>
      </c>
    </row>
    <row r="142" spans="2:14">
      <c r="B142">
        <f t="shared" si="37"/>
        <v>0.6</v>
      </c>
      <c r="C142">
        <f t="shared" si="25"/>
        <v>27.121148600000001</v>
      </c>
      <c r="D142">
        <f t="shared" si="26"/>
        <v>8.5295767160691014</v>
      </c>
      <c r="E142">
        <f t="shared" si="27"/>
        <v>0.26237293711302206</v>
      </c>
      <c r="F142">
        <f t="shared" si="28"/>
        <v>9744.4296891241411</v>
      </c>
      <c r="G142">
        <f t="shared" si="29"/>
        <v>46769.234385999996</v>
      </c>
      <c r="H142">
        <f t="shared" si="30"/>
        <v>17684.231972325011</v>
      </c>
      <c r="I142">
        <f t="shared" si="31"/>
        <v>12130.5</v>
      </c>
      <c r="J142">
        <f t="shared" si="32"/>
        <v>1524871.7134323027</v>
      </c>
      <c r="K142">
        <f t="shared" si="33"/>
        <v>41.185138609548723</v>
      </c>
      <c r="L142">
        <f t="shared" si="34"/>
        <v>94.085138609548721</v>
      </c>
      <c r="M142">
        <f t="shared" si="35"/>
        <v>0.26264597715351934</v>
      </c>
      <c r="N142" t="b">
        <f t="shared" si="36"/>
        <v>1</v>
      </c>
    </row>
    <row r="143" spans="2:14">
      <c r="B143">
        <f t="shared" si="37"/>
        <v>0.7</v>
      </c>
      <c r="C143">
        <f t="shared" si="25"/>
        <v>27.121148600000001</v>
      </c>
      <c r="D143">
        <f t="shared" si="26"/>
        <v>8.5295767160691014</v>
      </c>
      <c r="E143">
        <f t="shared" si="27"/>
        <v>0.22014936717128458</v>
      </c>
      <c r="F143">
        <f t="shared" si="28"/>
        <v>10364.905049417974</v>
      </c>
      <c r="G143">
        <f t="shared" si="29"/>
        <v>46769.234385999996</v>
      </c>
      <c r="H143">
        <f t="shared" si="30"/>
        <v>17684.231972325011</v>
      </c>
      <c r="I143">
        <f t="shared" si="31"/>
        <v>12130.5</v>
      </c>
      <c r="J143">
        <f t="shared" si="32"/>
        <v>1524871.7134323027</v>
      </c>
      <c r="K143">
        <f t="shared" si="33"/>
        <v>41.887098079293224</v>
      </c>
      <c r="L143">
        <f t="shared" si="34"/>
        <v>94.78709807929323</v>
      </c>
      <c r="M143">
        <f t="shared" si="35"/>
        <v>0.30933501763053328</v>
      </c>
      <c r="N143" t="b">
        <f t="shared" si="36"/>
        <v>0</v>
      </c>
    </row>
    <row r="144" spans="2:14">
      <c r="B144">
        <f t="shared" si="37"/>
        <v>0.7</v>
      </c>
      <c r="C144">
        <f t="shared" si="25"/>
        <v>27.121148600000001</v>
      </c>
      <c r="D144">
        <f t="shared" si="26"/>
        <v>8.5295767160691014</v>
      </c>
      <c r="E144">
        <f t="shared" si="27"/>
        <v>0.30933501763053328</v>
      </c>
      <c r="F144">
        <f t="shared" si="28"/>
        <v>9054.3219159193141</v>
      </c>
      <c r="G144">
        <f t="shared" si="29"/>
        <v>46769.234385999996</v>
      </c>
      <c r="H144">
        <f t="shared" si="30"/>
        <v>17684.231972325011</v>
      </c>
      <c r="I144">
        <f t="shared" si="31"/>
        <v>12130.5</v>
      </c>
      <c r="J144">
        <f t="shared" si="32"/>
        <v>1524871.7134323027</v>
      </c>
      <c r="K144">
        <f t="shared" si="33"/>
        <v>40.431532610396125</v>
      </c>
      <c r="L144">
        <f t="shared" si="34"/>
        <v>93.331532610396124</v>
      </c>
      <c r="M144">
        <f t="shared" si="35"/>
        <v>0.30324234517204035</v>
      </c>
      <c r="N144" t="b">
        <f t="shared" si="36"/>
        <v>0</v>
      </c>
    </row>
    <row r="145" spans="2:14">
      <c r="B145">
        <f t="shared" si="37"/>
        <v>0.7</v>
      </c>
      <c r="C145">
        <f t="shared" si="25"/>
        <v>27.121148600000001</v>
      </c>
      <c r="D145">
        <f t="shared" si="26"/>
        <v>8.5295767160691014</v>
      </c>
      <c r="E145">
        <f t="shared" si="27"/>
        <v>0.30324234517204035</v>
      </c>
      <c r="F145">
        <f t="shared" si="28"/>
        <v>9143.853737696867</v>
      </c>
      <c r="G145">
        <f t="shared" si="29"/>
        <v>46769.234385999996</v>
      </c>
      <c r="H145">
        <f t="shared" si="30"/>
        <v>17684.231972325011</v>
      </c>
      <c r="I145">
        <f t="shared" si="31"/>
        <v>12130.5</v>
      </c>
      <c r="J145">
        <f t="shared" si="32"/>
        <v>1524871.7134323027</v>
      </c>
      <c r="K145">
        <f t="shared" si="33"/>
        <v>40.527741836973895</v>
      </c>
      <c r="L145">
        <f t="shared" si="34"/>
        <v>93.427741836973894</v>
      </c>
      <c r="M145">
        <f t="shared" si="35"/>
        <v>0.30365091490046664</v>
      </c>
      <c r="N145" t="b">
        <f t="shared" si="36"/>
        <v>1</v>
      </c>
    </row>
    <row r="146" spans="2:14">
      <c r="B146">
        <f t="shared" si="37"/>
        <v>0.79999999999999993</v>
      </c>
      <c r="C146">
        <f t="shared" si="25"/>
        <v>27.121148600000001</v>
      </c>
      <c r="D146">
        <f t="shared" si="26"/>
        <v>8.5295767160691014</v>
      </c>
      <c r="E146">
        <f t="shared" si="27"/>
        <v>0.25159927676718236</v>
      </c>
      <c r="F146">
        <f t="shared" si="28"/>
        <v>9902.7486279062559</v>
      </c>
      <c r="G146">
        <f t="shared" si="29"/>
        <v>46769.234385999996</v>
      </c>
      <c r="H146">
        <f t="shared" si="30"/>
        <v>17684.231972325011</v>
      </c>
      <c r="I146">
        <f t="shared" si="31"/>
        <v>12130.5</v>
      </c>
      <c r="J146">
        <f t="shared" si="32"/>
        <v>1524871.7134323027</v>
      </c>
      <c r="K146">
        <f t="shared" si="33"/>
        <v>41.362003512839017</v>
      </c>
      <c r="L146">
        <f t="shared" si="34"/>
        <v>94.262003512839016</v>
      </c>
      <c r="M146">
        <f t="shared" si="35"/>
        <v>0.35103861128693514</v>
      </c>
      <c r="N146" t="b">
        <f t="shared" si="36"/>
        <v>0</v>
      </c>
    </row>
    <row r="147" spans="2:14">
      <c r="B147">
        <f t="shared" si="37"/>
        <v>0.79999999999999993</v>
      </c>
      <c r="C147">
        <f t="shared" si="25"/>
        <v>27.121148600000001</v>
      </c>
      <c r="D147">
        <f t="shared" si="26"/>
        <v>8.5295767160691014</v>
      </c>
      <c r="E147">
        <f t="shared" si="27"/>
        <v>0.35103861128693514</v>
      </c>
      <c r="F147">
        <f t="shared" si="28"/>
        <v>8441.4876071384879</v>
      </c>
      <c r="G147">
        <f t="shared" si="29"/>
        <v>46769.234385999996</v>
      </c>
      <c r="H147">
        <f t="shared" si="30"/>
        <v>17684.231972325011</v>
      </c>
      <c r="I147">
        <f t="shared" si="31"/>
        <v>12130.5</v>
      </c>
      <c r="J147">
        <f t="shared" si="32"/>
        <v>1524871.7134323027</v>
      </c>
      <c r="K147">
        <f t="shared" si="33"/>
        <v>39.785060213174305</v>
      </c>
      <c r="L147">
        <f t="shared" si="34"/>
        <v>92.685060213174296</v>
      </c>
      <c r="M147">
        <f t="shared" si="35"/>
        <v>0.34339998374425601</v>
      </c>
      <c r="N147" t="b">
        <f t="shared" si="36"/>
        <v>0</v>
      </c>
    </row>
    <row r="148" spans="2:14">
      <c r="B148">
        <f t="shared" si="37"/>
        <v>0.79999999999999993</v>
      </c>
      <c r="C148">
        <f t="shared" si="25"/>
        <v>27.121148600000001</v>
      </c>
      <c r="D148">
        <f t="shared" si="26"/>
        <v>8.5295767160691014</v>
      </c>
      <c r="E148">
        <f t="shared" si="27"/>
        <v>0.34339998374425601</v>
      </c>
      <c r="F148">
        <f t="shared" si="28"/>
        <v>8553.7372388781587</v>
      </c>
      <c r="G148">
        <f t="shared" si="29"/>
        <v>46769.234385999996</v>
      </c>
      <c r="H148">
        <f t="shared" si="30"/>
        <v>17684.231972325011</v>
      </c>
      <c r="I148">
        <f t="shared" si="31"/>
        <v>12130.5</v>
      </c>
      <c r="J148">
        <f t="shared" si="32"/>
        <v>1524871.7134323027</v>
      </c>
      <c r="K148">
        <f t="shared" si="33"/>
        <v>39.90192009178525</v>
      </c>
      <c r="L148">
        <f t="shared" si="34"/>
        <v>92.801920091785249</v>
      </c>
      <c r="M148">
        <f t="shared" si="35"/>
        <v>0.34397495269339656</v>
      </c>
      <c r="N148" t="b">
        <f t="shared" si="36"/>
        <v>1</v>
      </c>
    </row>
    <row r="149" spans="2:14">
      <c r="B149">
        <f t="shared" si="37"/>
        <v>0.89999999999999991</v>
      </c>
      <c r="C149">
        <f t="shared" si="25"/>
        <v>27.121148600000001</v>
      </c>
      <c r="D149">
        <f t="shared" si="26"/>
        <v>8.5295767160691014</v>
      </c>
      <c r="E149">
        <f t="shared" si="27"/>
        <v>0.28304918636308013</v>
      </c>
      <c r="F149">
        <f t="shared" si="28"/>
        <v>9440.5922063945363</v>
      </c>
      <c r="G149">
        <f t="shared" si="29"/>
        <v>46769.234385999996</v>
      </c>
      <c r="H149">
        <f t="shared" si="30"/>
        <v>17684.231972325011</v>
      </c>
      <c r="I149">
        <f t="shared" si="31"/>
        <v>12130.5</v>
      </c>
      <c r="J149">
        <f t="shared" si="32"/>
        <v>1524871.7134323027</v>
      </c>
      <c r="K149">
        <f t="shared" si="33"/>
        <v>40.849911070845693</v>
      </c>
      <c r="L149">
        <f t="shared" si="34"/>
        <v>93.749911070845684</v>
      </c>
      <c r="M149">
        <f t="shared" si="35"/>
        <v>0.3921595182738713</v>
      </c>
      <c r="N149" t="b">
        <f t="shared" si="36"/>
        <v>0</v>
      </c>
    </row>
    <row r="150" spans="2:14">
      <c r="B150">
        <f t="shared" si="37"/>
        <v>0.89999999999999991</v>
      </c>
      <c r="C150">
        <f t="shared" si="25"/>
        <v>27.121148600000001</v>
      </c>
      <c r="D150">
        <f t="shared" si="26"/>
        <v>8.5295767160691014</v>
      </c>
      <c r="E150">
        <f t="shared" si="27"/>
        <v>0.3921595182738713</v>
      </c>
      <c r="F150">
        <f t="shared" si="28"/>
        <v>7837.2158789654613</v>
      </c>
      <c r="G150">
        <f t="shared" si="29"/>
        <v>46769.234385999996</v>
      </c>
      <c r="H150">
        <f t="shared" si="30"/>
        <v>17684.231972325011</v>
      </c>
      <c r="I150">
        <f t="shared" si="31"/>
        <v>12130.5</v>
      </c>
      <c r="J150">
        <f t="shared" si="32"/>
        <v>1524871.7134323027</v>
      </c>
      <c r="K150">
        <f t="shared" si="33"/>
        <v>39.167548252263806</v>
      </c>
      <c r="L150">
        <f t="shared" si="34"/>
        <v>92.067548252263805</v>
      </c>
      <c r="M150">
        <f t="shared" si="35"/>
        <v>0.38287968015017343</v>
      </c>
      <c r="N150" t="b">
        <f t="shared" si="36"/>
        <v>0</v>
      </c>
    </row>
    <row r="151" spans="2:14">
      <c r="B151">
        <f t="shared" si="37"/>
        <v>0.89999999999999991</v>
      </c>
      <c r="C151">
        <f t="shared" si="25"/>
        <v>27.121148600000001</v>
      </c>
      <c r="D151">
        <f t="shared" si="26"/>
        <v>8.5295767160691014</v>
      </c>
      <c r="E151">
        <f t="shared" si="27"/>
        <v>0.38287968015017343</v>
      </c>
      <c r="F151">
        <f t="shared" si="28"/>
        <v>7973.5831001932011</v>
      </c>
      <c r="G151">
        <f t="shared" si="29"/>
        <v>46769.234385999996</v>
      </c>
      <c r="H151">
        <f t="shared" si="30"/>
        <v>17684.231972325011</v>
      </c>
      <c r="I151">
        <f t="shared" si="31"/>
        <v>12130.5</v>
      </c>
      <c r="J151">
        <f t="shared" si="32"/>
        <v>1524871.7134323027</v>
      </c>
      <c r="K151">
        <f t="shared" si="33"/>
        <v>39.305222696188366</v>
      </c>
      <c r="L151">
        <f t="shared" si="34"/>
        <v>92.205222696188372</v>
      </c>
      <c r="M151">
        <f t="shared" si="35"/>
        <v>0.38365180834850765</v>
      </c>
      <c r="N151" t="b">
        <f t="shared" si="36"/>
        <v>1</v>
      </c>
    </row>
    <row r="152" spans="2:14">
      <c r="B152">
        <f t="shared" si="37"/>
        <v>0.99999999999999989</v>
      </c>
      <c r="C152">
        <f t="shared" si="25"/>
        <v>27.121148600000001</v>
      </c>
      <c r="D152">
        <f t="shared" si="26"/>
        <v>8.5295767160691014</v>
      </c>
      <c r="E152">
        <f t="shared" si="27"/>
        <v>0.31449909595897796</v>
      </c>
      <c r="F152">
        <f t="shared" si="28"/>
        <v>8978.4357848828186</v>
      </c>
      <c r="G152">
        <f t="shared" si="29"/>
        <v>46769.234385999996</v>
      </c>
      <c r="H152">
        <f t="shared" si="30"/>
        <v>17684.231972325011</v>
      </c>
      <c r="I152">
        <f t="shared" si="31"/>
        <v>12130.5</v>
      </c>
      <c r="J152">
        <f t="shared" si="32"/>
        <v>1524871.7134323027</v>
      </c>
      <c r="K152">
        <f t="shared" si="33"/>
        <v>40.350343731217798</v>
      </c>
      <c r="L152">
        <f t="shared" si="34"/>
        <v>93.250343731217797</v>
      </c>
      <c r="M152">
        <f t="shared" si="35"/>
        <v>0.43270986590164756</v>
      </c>
      <c r="N152" t="b">
        <f t="shared" si="36"/>
        <v>0</v>
      </c>
    </row>
    <row r="153" spans="2:14">
      <c r="B153">
        <f t="shared" si="37"/>
        <v>0.99999999999999989</v>
      </c>
      <c r="C153">
        <f t="shared" si="25"/>
        <v>27.121148600000001</v>
      </c>
      <c r="D153">
        <f t="shared" si="26"/>
        <v>8.5295767160691014</v>
      </c>
      <c r="E153">
        <f t="shared" si="27"/>
        <v>0.43270986590164756</v>
      </c>
      <c r="F153">
        <f t="shared" si="28"/>
        <v>7241.3285205752891</v>
      </c>
      <c r="G153">
        <f t="shared" si="29"/>
        <v>46769.234385999996</v>
      </c>
      <c r="H153">
        <f t="shared" si="30"/>
        <v>17684.231972325011</v>
      </c>
      <c r="I153">
        <f t="shared" si="31"/>
        <v>12130.5</v>
      </c>
      <c r="J153">
        <f t="shared" si="32"/>
        <v>1524871.7134323027</v>
      </c>
      <c r="K153">
        <f t="shared" si="33"/>
        <v>38.57709332297609</v>
      </c>
      <c r="L153">
        <f t="shared" si="34"/>
        <v>91.477093322976089</v>
      </c>
      <c r="M153">
        <f t="shared" si="35"/>
        <v>0.42171315158400169</v>
      </c>
      <c r="N153" t="b">
        <f t="shared" si="36"/>
        <v>0</v>
      </c>
    </row>
    <row r="154" spans="2:14">
      <c r="B154">
        <f t="shared" si="37"/>
        <v>0.99999999999999989</v>
      </c>
      <c r="C154">
        <f t="shared" si="25"/>
        <v>27.121148600000001</v>
      </c>
      <c r="D154">
        <f t="shared" si="26"/>
        <v>8.5295767160691014</v>
      </c>
      <c r="E154">
        <f t="shared" si="27"/>
        <v>0.42171315158400169</v>
      </c>
      <c r="F154">
        <f t="shared" si="28"/>
        <v>7402.925237473095</v>
      </c>
      <c r="G154">
        <f t="shared" si="29"/>
        <v>46769.234385999996</v>
      </c>
      <c r="H154">
        <f t="shared" si="30"/>
        <v>17684.231972325011</v>
      </c>
      <c r="I154">
        <f t="shared" si="31"/>
        <v>12130.5</v>
      </c>
      <c r="J154">
        <f t="shared" si="32"/>
        <v>1524871.7134323027</v>
      </c>
      <c r="K154">
        <f t="shared" si="33"/>
        <v>38.735450348648286</v>
      </c>
      <c r="L154">
        <f t="shared" si="34"/>
        <v>91.635450348648277</v>
      </c>
      <c r="M154">
        <f t="shared" si="35"/>
        <v>0.42271250047083631</v>
      </c>
      <c r="N154" t="b">
        <f t="shared" si="36"/>
        <v>1</v>
      </c>
    </row>
    <row r="155" spans="2:14">
      <c r="B155">
        <v>0</v>
      </c>
      <c r="C155">
        <f t="shared" si="25"/>
        <v>27.121148600000001</v>
      </c>
      <c r="D155">
        <f t="shared" si="26"/>
        <v>8.5295767160691014</v>
      </c>
      <c r="E155">
        <f t="shared" si="27"/>
        <v>0</v>
      </c>
      <c r="F155">
        <f t="shared" si="28"/>
        <v>13600</v>
      </c>
      <c r="G155">
        <f t="shared" si="29"/>
        <v>46769.234385999996</v>
      </c>
      <c r="H155">
        <f t="shared" si="30"/>
        <v>17684.231972325011</v>
      </c>
      <c r="I155">
        <f t="shared" si="31"/>
        <v>12130.5</v>
      </c>
      <c r="J155">
        <f t="shared" si="32"/>
        <v>1524871.7134323027</v>
      </c>
      <c r="K155">
        <f t="shared" si="33"/>
        <v>45.9724724329458</v>
      </c>
      <c r="L155">
        <f t="shared" si="34"/>
        <v>98.872472432945798</v>
      </c>
      <c r="M155">
        <f t="shared" si="35"/>
        <v>0</v>
      </c>
      <c r="N155" t="b">
        <f t="shared" si="36"/>
        <v>1</v>
      </c>
    </row>
  </sheetData>
  <mergeCells count="29">
    <mergeCell ref="B11:C11"/>
    <mergeCell ref="D11:E11"/>
    <mergeCell ref="H15:J15"/>
    <mergeCell ref="A93:E95"/>
    <mergeCell ref="G93:H93"/>
    <mergeCell ref="G97:I97"/>
    <mergeCell ref="J97:R98"/>
    <mergeCell ref="I100:L101"/>
    <mergeCell ref="N100:O100"/>
    <mergeCell ref="P100:Q100"/>
    <mergeCell ref="N101:P101"/>
    <mergeCell ref="G98:I98"/>
    <mergeCell ref="G99:R99"/>
    <mergeCell ref="M100:M103"/>
    <mergeCell ref="Q102:Q103"/>
    <mergeCell ref="G102:L103"/>
    <mergeCell ref="R100:R103"/>
    <mergeCell ref="N20:O20"/>
    <mergeCell ref="Q20:R20"/>
    <mergeCell ref="T20:U20"/>
    <mergeCell ref="W20:X20"/>
    <mergeCell ref="I93:J93"/>
    <mergeCell ref="O93:R96"/>
    <mergeCell ref="K93:N93"/>
    <mergeCell ref="G94:J94"/>
    <mergeCell ref="K94:N94"/>
    <mergeCell ref="G95:H95"/>
    <mergeCell ref="G96:H96"/>
    <mergeCell ref="I95:N96"/>
  </mergeCells>
  <conditionalFormatting sqref="L1:L92 M108 M110:N110 L104:L1048534">
    <cfRule type="containsText" dxfId="6" priority="6" operator="containsText" text="FALSE">
      <formula>NOT(ISERROR(SEARCH("FALSE",L1)))</formula>
    </cfRule>
    <cfRule type="containsText" dxfId="5" priority="7" operator="containsText" text="TRUE">
      <formula>NOT(ISERROR(SEARCH("TRUE",L1)))</formula>
    </cfRule>
  </conditionalFormatting>
  <conditionalFormatting sqref="N108:U108">
    <cfRule type="containsText" dxfId="4" priority="4" operator="containsText" text="FALSE">
      <formula>NOT(ISERROR(SEARCH("FALSE",N108)))</formula>
    </cfRule>
    <cfRule type="containsText" dxfId="3" priority="5" operator="containsText" text="TRUE">
      <formula>NOT(ISERROR(SEARCH("TRUE",N108)))</formula>
    </cfRule>
  </conditionalFormatting>
  <conditionalFormatting sqref="N111:N360">
    <cfRule type="containsText" dxfId="2" priority="3" operator="containsText" text="False">
      <formula>NOT(ISERROR(SEARCH("False",N111)))</formula>
    </cfRule>
  </conditionalFormatting>
  <conditionalFormatting sqref="N111:N360">
    <cfRule type="containsText" dxfId="1" priority="2" operator="containsText" text="False">
      <formula>NOT(ISERROR(SEARCH("False",N111)))</formula>
    </cfRule>
  </conditionalFormatting>
  <conditionalFormatting sqref="N110:N360">
    <cfRule type="containsText" dxfId="0" priority="1" operator="containsText" text="true">
      <formula>NOT(ISERROR(SEARCH("true",N110)))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artB">
                <anchor moveWithCells="1" sizeWithCells="1">
                  <from>
                    <xdr:col>27</xdr:col>
                    <xdr:colOff>351367</xdr:colOff>
                    <xdr:row>13</xdr:row>
                    <xdr:rowOff>8467</xdr:rowOff>
                  </from>
                  <to>
                    <xdr:col>30</xdr:col>
                    <xdr:colOff>114300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baseDesign</vt:lpstr>
      <vt:lpstr>optimization</vt:lpstr>
      <vt:lpstr>Optimized Results(Non-VBA)</vt:lpstr>
      <vt:lpstr>partB</vt:lpstr>
      <vt:lpstr>Feed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tempaccount</dc:creator>
  <cp:lastModifiedBy>xunxun shi</cp:lastModifiedBy>
  <dcterms:created xsi:type="dcterms:W3CDTF">2017-07-12T18:29:18Z</dcterms:created>
  <dcterms:modified xsi:type="dcterms:W3CDTF">2017-12-29T00:50:14Z</dcterms:modified>
</cp:coreProperties>
</file>